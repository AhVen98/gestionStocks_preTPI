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baseTravail\"/>
    </mc:Choice>
  </mc:AlternateContent>
  <bookViews>
    <workbookView xWindow="1200" yWindow="30" windowWidth="24960" windowHeight="12750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Planning!$A$1:$T$90</definedName>
  </definedNames>
  <calcPr calcId="162913"/>
</workbook>
</file>

<file path=xl/calcChain.xml><?xml version="1.0" encoding="utf-8"?>
<calcChain xmlns="http://schemas.openxmlformats.org/spreadsheetml/2006/main">
  <c r="U37" i="1" l="1"/>
  <c r="U20" i="1"/>
  <c r="U21" i="1"/>
  <c r="B1" i="1"/>
  <c r="C9" i="1"/>
  <c r="D3" i="1"/>
  <c r="E5" i="1"/>
  <c r="G5" i="1"/>
  <c r="I5" i="1"/>
  <c r="K5" i="1"/>
  <c r="M5" i="1"/>
  <c r="O5" i="1"/>
  <c r="Q5" i="1"/>
  <c r="S5" i="1"/>
  <c r="C1" i="6"/>
  <c r="U10" i="1"/>
  <c r="U12" i="1"/>
  <c r="U14" i="1"/>
  <c r="U16" i="1"/>
  <c r="U18" i="1"/>
  <c r="U36" i="1"/>
  <c r="U38" i="1"/>
  <c r="U40" i="1"/>
  <c r="U42" i="1"/>
  <c r="U44" i="1"/>
  <c r="U46" i="1"/>
  <c r="U50" i="1"/>
  <c r="U52" i="1"/>
  <c r="U54" i="1"/>
  <c r="U56" i="1"/>
  <c r="U58" i="1"/>
  <c r="U60" i="1"/>
  <c r="U64" i="1"/>
  <c r="U66" i="1"/>
  <c r="U68" i="1"/>
  <c r="U70" i="1"/>
  <c r="U72" i="1"/>
  <c r="U74" i="1"/>
  <c r="U78" i="1"/>
  <c r="U80" i="1"/>
  <c r="U82" i="1"/>
  <c r="U84" i="1"/>
  <c r="U86" i="1"/>
  <c r="U88" i="1"/>
  <c r="B50" i="1"/>
  <c r="B52" i="1"/>
  <c r="B54" i="1"/>
  <c r="B56" i="1"/>
  <c r="B58" i="1"/>
  <c r="B60" i="1"/>
  <c r="B46" i="1"/>
  <c r="B44" i="1"/>
  <c r="B42" i="1"/>
  <c r="B40" i="1"/>
  <c r="B38" i="1"/>
  <c r="B36" i="1"/>
  <c r="B32" i="1"/>
  <c r="B30" i="1"/>
  <c r="B28" i="1"/>
  <c r="B26" i="1"/>
  <c r="B24" i="1"/>
  <c r="B22" i="1"/>
  <c r="U8" i="1"/>
  <c r="C33" i="1"/>
  <c r="C31" i="1"/>
  <c r="C29" i="1"/>
  <c r="C27" i="1"/>
  <c r="C25" i="1"/>
  <c r="C23" i="1"/>
  <c r="C32" i="1"/>
  <c r="C30" i="1"/>
  <c r="C28" i="1"/>
  <c r="C26" i="1"/>
  <c r="C24" i="1"/>
  <c r="C22" i="1"/>
  <c r="A20" i="1"/>
  <c r="B10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12" i="1" l="1"/>
  <c r="B5" i="6" l="1"/>
  <c r="E1" i="6" l="1"/>
  <c r="B88" i="1" l="1"/>
  <c r="B86" i="1"/>
  <c r="B84" i="1"/>
  <c r="B82" i="1"/>
  <c r="B80" i="1"/>
  <c r="B78" i="1"/>
  <c r="B74" i="1"/>
  <c r="B72" i="1"/>
  <c r="B70" i="1"/>
  <c r="B68" i="1"/>
  <c r="B66" i="1"/>
  <c r="B64" i="1"/>
  <c r="B18" i="1"/>
  <c r="B16" i="1"/>
  <c r="B14" i="1"/>
  <c r="B8" i="1"/>
  <c r="A76" i="1"/>
  <c r="A62" i="1"/>
  <c r="A48" i="1"/>
  <c r="A34" i="1"/>
  <c r="A6" i="1"/>
  <c r="D2" i="1"/>
  <c r="C84" i="1"/>
  <c r="C70" i="1"/>
  <c r="C58" i="1" l="1"/>
  <c r="C16" i="1"/>
  <c r="C18" i="1"/>
  <c r="C46" i="1"/>
  <c r="C88" i="1"/>
  <c r="C86" i="1"/>
  <c r="C82" i="1"/>
  <c r="C80" i="1"/>
  <c r="C78" i="1"/>
  <c r="B9" i="6" l="1"/>
  <c r="B8" i="6"/>
  <c r="B6" i="6"/>
  <c r="B4" i="6"/>
  <c r="D5" i="1"/>
  <c r="F2" i="1"/>
  <c r="F5" i="1" s="1"/>
  <c r="O23" i="1" l="1"/>
  <c r="I29" i="1"/>
  <c r="Q31" i="1"/>
  <c r="S33" i="1"/>
  <c r="S27" i="1"/>
  <c r="E23" i="1"/>
  <c r="Q23" i="1"/>
  <c r="O29" i="1"/>
  <c r="E33" i="1"/>
  <c r="G23" i="1"/>
  <c r="S23" i="1"/>
  <c r="E31" i="1"/>
  <c r="G33" i="1"/>
  <c r="I23" i="1"/>
  <c r="G27" i="1"/>
  <c r="I31" i="1"/>
  <c r="K33" i="1"/>
  <c r="K23" i="1"/>
  <c r="M27" i="1"/>
  <c r="K31" i="1"/>
  <c r="M33" i="1"/>
  <c r="M23" i="1"/>
  <c r="O31" i="1"/>
  <c r="Q33" i="1"/>
  <c r="E25" i="1"/>
  <c r="E29" i="1"/>
  <c r="Q25" i="1"/>
  <c r="O25" i="1"/>
  <c r="I25" i="1"/>
  <c r="O33" i="1"/>
  <c r="O27" i="1"/>
  <c r="K25" i="1"/>
  <c r="E27" i="1"/>
  <c r="S31" i="1"/>
  <c r="I27" i="1"/>
  <c r="S29" i="1"/>
  <c r="G29" i="1"/>
  <c r="M31" i="1"/>
  <c r="S25" i="1"/>
  <c r="M29" i="1"/>
  <c r="G31" i="1"/>
  <c r="Q29" i="1"/>
  <c r="M25" i="1"/>
  <c r="Q27" i="1"/>
  <c r="I33" i="1"/>
  <c r="K29" i="1"/>
  <c r="G25" i="1"/>
  <c r="K27" i="1"/>
  <c r="F23" i="1"/>
  <c r="F29" i="1"/>
  <c r="F27" i="1"/>
  <c r="F33" i="1"/>
  <c r="F25" i="1"/>
  <c r="F31" i="1"/>
  <c r="D25" i="1"/>
  <c r="D27" i="1"/>
  <c r="D31" i="1"/>
  <c r="D29" i="1"/>
  <c r="D33" i="1"/>
  <c r="D23" i="1"/>
  <c r="C85" i="1"/>
  <c r="C59" i="1"/>
  <c r="C71" i="1"/>
  <c r="C47" i="1"/>
  <c r="C17" i="1"/>
  <c r="C19" i="1"/>
  <c r="C81" i="1"/>
  <c r="C89" i="1"/>
  <c r="C83" i="1"/>
  <c r="C79" i="1"/>
  <c r="C87" i="1"/>
  <c r="H2" i="1"/>
  <c r="H5" i="1" s="1"/>
  <c r="C75" i="1"/>
  <c r="C74" i="1"/>
  <c r="C73" i="1"/>
  <c r="C72" i="1"/>
  <c r="C69" i="1"/>
  <c r="C68" i="1"/>
  <c r="C67" i="1"/>
  <c r="C66" i="1"/>
  <c r="C65" i="1"/>
  <c r="C64" i="1"/>
  <c r="C61" i="1"/>
  <c r="C60" i="1"/>
  <c r="C57" i="1"/>
  <c r="C56" i="1"/>
  <c r="C55" i="1"/>
  <c r="C54" i="1"/>
  <c r="C53" i="1"/>
  <c r="C52" i="1"/>
  <c r="C51" i="1"/>
  <c r="C50" i="1"/>
  <c r="C45" i="1"/>
  <c r="C44" i="1"/>
  <c r="C43" i="1"/>
  <c r="C42" i="1"/>
  <c r="C41" i="1"/>
  <c r="C40" i="1"/>
  <c r="C39" i="1"/>
  <c r="C38" i="1"/>
  <c r="C37" i="1"/>
  <c r="C36" i="1"/>
  <c r="C15" i="1"/>
  <c r="C14" i="1"/>
  <c r="C13" i="1"/>
  <c r="C12" i="1"/>
  <c r="C11" i="1"/>
  <c r="C10" i="1"/>
  <c r="C8" i="1"/>
  <c r="U62" i="1" l="1"/>
  <c r="U76" i="1"/>
  <c r="U34" i="1"/>
  <c r="U48" i="1"/>
  <c r="U6" i="1"/>
  <c r="N3" i="1"/>
  <c r="F3" i="1"/>
  <c r="P3" i="1"/>
  <c r="H3" i="1"/>
  <c r="R3" i="1"/>
  <c r="J3" i="1"/>
  <c r="T3" i="1"/>
  <c r="L3" i="1"/>
  <c r="J2" i="1"/>
  <c r="J5" i="1" s="1"/>
  <c r="B3" i="1" l="1"/>
  <c r="H25" i="1"/>
  <c r="H31" i="1"/>
  <c r="H23" i="1"/>
  <c r="H29" i="1"/>
  <c r="H27" i="1"/>
  <c r="H33" i="1"/>
  <c r="L2" i="1"/>
  <c r="L5" i="1" s="1"/>
  <c r="J27" i="1" l="1"/>
  <c r="J33" i="1"/>
  <c r="J25" i="1"/>
  <c r="J31" i="1"/>
  <c r="J23" i="1"/>
  <c r="J29" i="1"/>
  <c r="N2" i="1"/>
  <c r="N5" i="1" s="1"/>
  <c r="L23" i="1" l="1"/>
  <c r="L29" i="1"/>
  <c r="L27" i="1"/>
  <c r="L33" i="1"/>
  <c r="L25" i="1"/>
  <c r="L31" i="1"/>
  <c r="P2" i="1"/>
  <c r="P5" i="1" s="1"/>
  <c r="N25" i="1" l="1"/>
  <c r="N31" i="1"/>
  <c r="N23" i="1"/>
  <c r="N29" i="1"/>
  <c r="N27" i="1"/>
  <c r="N33" i="1"/>
  <c r="R2" i="1"/>
  <c r="R5" i="1" s="1"/>
  <c r="P27" i="1" l="1"/>
  <c r="P33" i="1"/>
  <c r="P25" i="1"/>
  <c r="P31" i="1"/>
  <c r="P23" i="1"/>
  <c r="P29" i="1"/>
  <c r="T2" i="1"/>
  <c r="T5" i="1" s="1"/>
  <c r="R23" i="1" l="1"/>
  <c r="R29" i="1"/>
  <c r="R27" i="1"/>
  <c r="R33" i="1"/>
  <c r="R25" i="1"/>
  <c r="R31" i="1"/>
  <c r="T25" i="1" l="1"/>
  <c r="T31" i="1"/>
  <c r="T23" i="1"/>
  <c r="T29" i="1"/>
  <c r="T27" i="1"/>
  <c r="T33" i="1"/>
  <c r="B7" i="6"/>
  <c r="R11" i="1" l="1"/>
  <c r="F79" i="1"/>
  <c r="D9" i="1"/>
  <c r="R69" i="1"/>
  <c r="D73" i="1"/>
  <c r="T75" i="1"/>
  <c r="F37" i="1"/>
  <c r="R9" i="1"/>
  <c r="L37" i="1"/>
  <c r="T9" i="1"/>
  <c r="J43" i="1"/>
  <c r="H61" i="1"/>
  <c r="L55" i="1"/>
  <c r="D65" i="1"/>
  <c r="R55" i="1"/>
  <c r="H57" i="1"/>
  <c r="D11" i="1"/>
  <c r="N43" i="1"/>
  <c r="L57" i="1"/>
  <c r="D55" i="1"/>
  <c r="F65" i="1"/>
  <c r="F13" i="1"/>
  <c r="F85" i="1"/>
  <c r="D59" i="1"/>
  <c r="F19" i="1"/>
  <c r="D47" i="1"/>
  <c r="D83" i="1"/>
  <c r="F89" i="1"/>
  <c r="F83" i="1"/>
  <c r="F87" i="1"/>
  <c r="F59" i="1"/>
  <c r="F47" i="1"/>
  <c r="D81" i="1"/>
  <c r="D71" i="1"/>
  <c r="F17" i="1"/>
  <c r="F71" i="1"/>
  <c r="D17" i="1"/>
  <c r="D87" i="1"/>
  <c r="D85" i="1"/>
  <c r="D19" i="1"/>
  <c r="D89" i="1"/>
  <c r="F81" i="1"/>
  <c r="H85" i="1"/>
  <c r="H87" i="1"/>
  <c r="H83" i="1"/>
  <c r="H81" i="1"/>
  <c r="H89" i="1"/>
  <c r="H71" i="1"/>
  <c r="H59" i="1"/>
  <c r="H79" i="1"/>
  <c r="H19" i="1"/>
  <c r="H17" i="1"/>
  <c r="H47" i="1"/>
  <c r="J47" i="1"/>
  <c r="J81" i="1"/>
  <c r="J17" i="1"/>
  <c r="J87" i="1"/>
  <c r="J71" i="1"/>
  <c r="J59" i="1"/>
  <c r="J89" i="1"/>
  <c r="J19" i="1"/>
  <c r="J85" i="1"/>
  <c r="J79" i="1"/>
  <c r="J83" i="1"/>
  <c r="L47" i="1"/>
  <c r="L81" i="1"/>
  <c r="L87" i="1"/>
  <c r="L59" i="1"/>
  <c r="L19" i="1"/>
  <c r="L83" i="1"/>
  <c r="L17" i="1"/>
  <c r="L71" i="1"/>
  <c r="L89" i="1"/>
  <c r="L85" i="1"/>
  <c r="L79" i="1"/>
  <c r="N17" i="1"/>
  <c r="N83" i="1"/>
  <c r="N85" i="1"/>
  <c r="N79" i="1"/>
  <c r="N71" i="1"/>
  <c r="N87" i="1"/>
  <c r="N19" i="1"/>
  <c r="N47" i="1"/>
  <c r="N89" i="1"/>
  <c r="N59" i="1"/>
  <c r="N81" i="1"/>
  <c r="P71" i="1"/>
  <c r="P79" i="1"/>
  <c r="P19" i="1"/>
  <c r="P83" i="1"/>
  <c r="P89" i="1"/>
  <c r="P47" i="1"/>
  <c r="P17" i="1"/>
  <c r="P87" i="1"/>
  <c r="P85" i="1"/>
  <c r="P59" i="1"/>
  <c r="P81" i="1"/>
  <c r="R59" i="1"/>
  <c r="R81" i="1"/>
  <c r="R17" i="1"/>
  <c r="R89" i="1"/>
  <c r="R47" i="1"/>
  <c r="R83" i="1"/>
  <c r="R85" i="1"/>
  <c r="R87" i="1"/>
  <c r="R71" i="1"/>
  <c r="R19" i="1"/>
  <c r="R79" i="1"/>
  <c r="T71" i="1"/>
  <c r="T17" i="1"/>
  <c r="T87" i="1"/>
  <c r="T85" i="1"/>
  <c r="T47" i="1"/>
  <c r="T83" i="1"/>
  <c r="T59" i="1"/>
  <c r="T89" i="1"/>
  <c r="T79" i="1"/>
  <c r="T19" i="1"/>
  <c r="T81" i="1"/>
  <c r="N57" i="1"/>
  <c r="N15" i="1"/>
  <c r="D67" i="1"/>
  <c r="N9" i="1"/>
  <c r="D75" i="1"/>
  <c r="D53" i="1"/>
  <c r="N75" i="1"/>
  <c r="L45" i="1"/>
  <c r="F75" i="1"/>
  <c r="J39" i="1"/>
  <c r="L69" i="1"/>
  <c r="J57" i="1"/>
  <c r="D41" i="1"/>
  <c r="D43" i="1"/>
  <c r="L43" i="1"/>
  <c r="J37" i="1"/>
  <c r="F55" i="1"/>
  <c r="H73" i="1"/>
  <c r="R39" i="1"/>
  <c r="J61" i="1"/>
  <c r="P73" i="1"/>
  <c r="T11" i="1"/>
  <c r="R37" i="1"/>
  <c r="F15" i="1"/>
  <c r="H39" i="1"/>
  <c r="P45" i="1"/>
  <c r="R61" i="1"/>
  <c r="R57" i="1"/>
  <c r="L53" i="1"/>
  <c r="P55" i="1"/>
  <c r="J75" i="1"/>
  <c r="J45" i="1"/>
  <c r="P39" i="1"/>
  <c r="T37" i="1"/>
  <c r="T67" i="1"/>
  <c r="J69" i="1"/>
  <c r="P41" i="1"/>
  <c r="H67" i="1"/>
  <c r="T43" i="1"/>
  <c r="T55" i="1"/>
  <c r="H65" i="1"/>
  <c r="N53" i="1"/>
  <c r="F51" i="1"/>
  <c r="F41" i="1"/>
  <c r="P69" i="1"/>
  <c r="L51" i="1"/>
  <c r="R13" i="1"/>
  <c r="T15" i="1"/>
  <c r="J55" i="1"/>
  <c r="T73" i="1"/>
  <c r="T65" i="1"/>
  <c r="T45" i="1"/>
  <c r="N13" i="1"/>
  <c r="H11" i="1"/>
  <c r="L13" i="1"/>
  <c r="T69" i="1"/>
  <c r="P53" i="1"/>
  <c r="P13" i="1"/>
  <c r="N39" i="1"/>
  <c r="J53" i="1"/>
  <c r="F69" i="1"/>
  <c r="F53" i="1"/>
  <c r="T41" i="1"/>
  <c r="T57" i="1"/>
  <c r="H45" i="1"/>
  <c r="L67" i="1"/>
  <c r="R51" i="1"/>
  <c r="R73" i="1"/>
  <c r="H37" i="1"/>
  <c r="P11" i="1"/>
  <c r="L73" i="1"/>
  <c r="H75" i="1"/>
  <c r="R41" i="1"/>
  <c r="H51" i="1"/>
  <c r="J41" i="1"/>
  <c r="N37" i="1"/>
  <c r="J65" i="1"/>
  <c r="J11" i="1"/>
  <c r="F45" i="1"/>
  <c r="D69" i="1"/>
  <c r="D61" i="1"/>
  <c r="L9" i="1"/>
  <c r="P9" i="1"/>
  <c r="J73" i="1"/>
  <c r="F61" i="1"/>
  <c r="D57" i="1"/>
  <c r="P43" i="1"/>
  <c r="P51" i="1"/>
  <c r="P57" i="1"/>
  <c r="N65" i="1"/>
  <c r="P65" i="1"/>
  <c r="T13" i="1"/>
  <c r="H69" i="1"/>
  <c r="L65" i="1"/>
  <c r="L15" i="1"/>
  <c r="P67" i="1"/>
  <c r="H43" i="1"/>
  <c r="N51" i="1"/>
  <c r="P61" i="1"/>
  <c r="H53" i="1"/>
  <c r="N45" i="1"/>
  <c r="P15" i="1"/>
  <c r="P75" i="1"/>
  <c r="T61" i="1"/>
  <c r="N73" i="1"/>
  <c r="H41" i="1"/>
  <c r="N55" i="1"/>
  <c r="F43" i="1"/>
  <c r="R15" i="1"/>
  <c r="F57" i="1"/>
  <c r="D37" i="1"/>
  <c r="D45" i="1"/>
  <c r="H9" i="1"/>
  <c r="D51" i="1"/>
  <c r="D15" i="1"/>
  <c r="D13" i="1"/>
  <c r="J9" i="1"/>
  <c r="D39" i="1"/>
  <c r="J67" i="1"/>
  <c r="J15" i="1"/>
  <c r="N61" i="1"/>
  <c r="H55" i="1"/>
  <c r="F39" i="1"/>
  <c r="R65" i="1"/>
  <c r="H13" i="1"/>
  <c r="N69" i="1"/>
  <c r="H15" i="1"/>
  <c r="L75" i="1"/>
  <c r="T39" i="1"/>
  <c r="R43" i="1"/>
  <c r="F67" i="1"/>
  <c r="R75" i="1"/>
  <c r="F11" i="1"/>
  <c r="R67" i="1"/>
  <c r="J51" i="1"/>
  <c r="T51" i="1"/>
  <c r="R45" i="1"/>
  <c r="N67" i="1"/>
  <c r="F73" i="1"/>
  <c r="L61" i="1"/>
  <c r="J13" i="1"/>
  <c r="R53" i="1"/>
  <c r="N11" i="1"/>
  <c r="L11" i="1"/>
  <c r="P37" i="1"/>
  <c r="U45" i="1" l="1"/>
  <c r="U15" i="1"/>
  <c r="U41" i="1"/>
  <c r="U59" i="1"/>
  <c r="U51" i="1"/>
  <c r="U53" i="1"/>
  <c r="U89" i="1"/>
  <c r="U11" i="1"/>
  <c r="U73" i="1"/>
  <c r="U75" i="1"/>
  <c r="U19" i="1"/>
  <c r="U71" i="1"/>
  <c r="U39" i="1"/>
  <c r="U85" i="1"/>
  <c r="U81" i="1"/>
  <c r="U83" i="1"/>
  <c r="U9" i="1"/>
  <c r="U61" i="1"/>
  <c r="U67" i="1"/>
  <c r="U87" i="1"/>
  <c r="U47" i="1"/>
  <c r="U55" i="1"/>
  <c r="U65" i="1"/>
  <c r="U79" i="1"/>
  <c r="U13" i="1"/>
  <c r="U57" i="1"/>
  <c r="U69" i="1"/>
  <c r="U43" i="1"/>
  <c r="U17" i="1"/>
  <c r="F4" i="1"/>
  <c r="T4" i="1"/>
  <c r="R4" i="1"/>
  <c r="P4" i="1"/>
  <c r="L4" i="1"/>
  <c r="J4" i="1"/>
  <c r="H4" i="1"/>
  <c r="N4" i="1"/>
  <c r="D4" i="1"/>
  <c r="B4" i="1" l="1"/>
  <c r="U63" i="1"/>
  <c r="U35" i="1"/>
  <c r="U49" i="1"/>
  <c r="U77" i="1"/>
  <c r="U7" i="1"/>
</calcChain>
</file>

<file path=xl/sharedStrings.xml><?xml version="1.0" encoding="utf-8"?>
<sst xmlns="http://schemas.openxmlformats.org/spreadsheetml/2006/main" count="61" uniqueCount="58">
  <si>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</si>
  <si>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</si>
  <si>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</si>
  <si>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</si>
  <si>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</si>
  <si>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</si>
  <si>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</si>
  <si>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</si>
  <si>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</si>
  <si>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</si>
  <si>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</si>
  <si>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</si>
  <si>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</si>
  <si>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</si>
  <si>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</si>
  <si>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</si>
  <si>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</si>
  <si>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</si>
  <si>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</si>
  <si>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</si>
  <si>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 xml:space="preserve">15 -                                                 </t>
  </si>
  <si>
    <t>14 -</t>
  </si>
  <si>
    <t xml:space="preserve">13 - 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</si>
  <si>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</si>
  <si>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</si>
  <si>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</si>
  <si>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</si>
  <si>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</si>
  <si>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</si>
  <si>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</si>
  <si>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</si>
  <si>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</si>
  <si>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</si>
  <si>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</si>
  <si>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51 Rapport hebdomadaire</t>
  </si>
  <si>
    <t>52 Mode d'emploi utilisateur</t>
  </si>
  <si>
    <t>53 Rapport de pré-TPI</t>
  </si>
  <si>
    <t>54 Procédure d'installation</t>
  </si>
  <si>
    <t>55 Procédure de mise en service</t>
  </si>
  <si>
    <t>41 Tests unitaires</t>
  </si>
  <si>
    <t>42 Tests d'intégration</t>
  </si>
  <si>
    <t>23 Diagrammes de flux</t>
  </si>
  <si>
    <t>56 Commentaires du code</t>
  </si>
  <si>
    <t>11 Planification initiale</t>
  </si>
  <si>
    <t xml:space="preserve">12 - </t>
  </si>
  <si>
    <t>Mise en place du fichier excel de la planification</t>
  </si>
  <si>
    <t>N° SEM</t>
  </si>
  <si>
    <t>Location</t>
  </si>
  <si>
    <t>Matériel</t>
  </si>
  <si>
    <t>33  -</t>
  </si>
  <si>
    <t>34 -</t>
  </si>
  <si>
    <t>35 -</t>
  </si>
  <si>
    <t>36 -</t>
  </si>
  <si>
    <t xml:space="preserve">16 - </t>
  </si>
  <si>
    <t>31 Script création base de données</t>
  </si>
  <si>
    <t>32 Script insertion données</t>
  </si>
  <si>
    <t>43 Tests fonctionnels</t>
  </si>
  <si>
    <t>Planification du pré-TPI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</si>
</sst>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4" xfId="0" applyNumberFormat="1" applyBorder="1" applyAlignment="1">
      <alignment horizontal="center" vertical="top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top"/>
      <protection locked="0"/>
    </xf>
    <xf numFmtId="165" fontId="0" fillId="0" borderId="24" xfId="0" applyNumberFormat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wrapText="1"/>
      <protection locked="0"/>
    </xf>
    <xf numFmtId="14" fontId="0" fillId="0" borderId="24" xfId="0" applyNumberFormat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left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4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NumberFormat="1" applyBorder="1" applyAlignment="1">
      <alignment horizontal="center" vertical="top"/>
    </xf>
    <xf numFmtId="0" fontId="0" fillId="0" borderId="20" xfId="0" applyBorder="1" applyAlignment="1" applyProtection="1">
      <alignment horizontal="center"/>
      <protection locked="0"/>
    </xf>
    <xf numFmtId="165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" fillId="0" borderId="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left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8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11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H39"/>
  <sheetViews>
    <sheetView workbookViewId="0">
      <selection activeCell="B9" sqref="B9"/>
    </sheetView>
  </sheetViews>
  <sheetFormatPr baseColWidth="10" defaultRowHeight="15" x14ac:dyDescent="0.25"/>
  <cols>
    <col min="1" max="1" width="22.42578125" style="63" customWidth="1"/>
    <col min="2" max="2" width="14.140625" style="63" customWidth="1"/>
    <col min="3" max="3" width="16.5703125" style="63" customWidth="1"/>
    <col min="4" max="4" width="17.28515625" style="63" customWidth="1"/>
    <col min="5" max="5" width="3.85546875" style="63" customWidth="1"/>
    <col min="6" max="6" width="21.7109375" style="63" bestFit="1" customWidth="1"/>
    <col min="7" max="7" width="30.7109375" style="63" customWidth="1"/>
    <col min="8" max="16384" width="11.42578125" style="63"/>
  </cols>
  <sheetData>
    <row r="2" spans="1:8" s="111" customFormat="1" ht="18.75" x14ac:dyDescent="0.3">
      <c r="A2" s="109" t="s">
        <v>10</v>
      </c>
      <c r="B2" s="109" t="s">
        <v>13</v>
      </c>
      <c r="C2" s="109" t="s">
        <v>6</v>
      </c>
      <c r="D2" s="109" t="s">
        <v>9</v>
      </c>
      <c r="E2" s="109"/>
      <c r="F2" s="109" t="s">
        <v>11</v>
      </c>
      <c r="G2" s="109" t="s">
        <v>8</v>
      </c>
      <c r="H2" s="110"/>
    </row>
    <row r="3" spans="1:8" x14ac:dyDescent="0.25">
      <c r="A3" s="56" t="s">
        <v>47</v>
      </c>
      <c r="B3" s="59">
        <v>44228</v>
      </c>
      <c r="C3" s="60" t="s">
        <v>23</v>
      </c>
      <c r="D3" s="61" t="s">
        <v>24</v>
      </c>
      <c r="E3" s="62"/>
      <c r="F3" s="56" t="s">
        <v>25</v>
      </c>
      <c r="G3" s="71" t="s">
        <v>43</v>
      </c>
      <c r="H3" s="62"/>
    </row>
    <row r="4" spans="1:8" x14ac:dyDescent="0.25">
      <c r="A4" s="58" t="s">
        <v>48</v>
      </c>
      <c r="B4" s="62"/>
      <c r="C4" s="62"/>
      <c r="D4" s="62"/>
      <c r="E4" s="62"/>
      <c r="F4" s="54"/>
      <c r="G4" s="72" t="s">
        <v>44</v>
      </c>
      <c r="H4" s="62"/>
    </row>
    <row r="5" spans="1:8" x14ac:dyDescent="0.25">
      <c r="A5" s="62"/>
      <c r="B5" s="62"/>
      <c r="C5" s="62"/>
      <c r="D5" s="62"/>
      <c r="E5" s="62"/>
      <c r="F5" s="54"/>
      <c r="G5" s="72" t="s">
        <v>22</v>
      </c>
      <c r="H5" s="62"/>
    </row>
    <row r="6" spans="1:8" x14ac:dyDescent="0.25">
      <c r="A6" s="62"/>
      <c r="B6" s="62"/>
      <c r="C6" s="62"/>
      <c r="D6" s="62"/>
      <c r="E6" s="62"/>
      <c r="F6" s="54"/>
      <c r="G6" s="72" t="s">
        <v>21</v>
      </c>
      <c r="H6" s="62"/>
    </row>
    <row r="7" spans="1:8" x14ac:dyDescent="0.25">
      <c r="A7" s="62"/>
      <c r="B7" s="62"/>
      <c r="C7" s="62"/>
      <c r="D7" s="62"/>
      <c r="E7" s="62"/>
      <c r="F7" s="54"/>
      <c r="G7" s="57" t="s">
        <v>20</v>
      </c>
      <c r="H7" s="62"/>
    </row>
    <row r="8" spans="1:8" x14ac:dyDescent="0.25">
      <c r="A8" s="62"/>
      <c r="B8" s="62"/>
      <c r="C8" s="62"/>
      <c r="D8" s="62"/>
      <c r="E8" s="62"/>
      <c r="F8" s="55"/>
      <c r="G8" s="58" t="s">
        <v>53</v>
      </c>
      <c r="H8" s="62"/>
    </row>
    <row r="9" spans="1:8" x14ac:dyDescent="0.25">
      <c r="A9" s="62"/>
      <c r="B9" s="62"/>
      <c r="C9" s="62"/>
      <c r="D9" s="62"/>
      <c r="E9" s="62"/>
      <c r="F9" s="56" t="s">
        <v>31</v>
      </c>
      <c r="G9" s="56" t="s">
        <v>32</v>
      </c>
      <c r="H9" s="62"/>
    </row>
    <row r="10" spans="1:8" x14ac:dyDescent="0.25">
      <c r="A10" s="62"/>
      <c r="B10" s="62"/>
      <c r="C10" s="62"/>
      <c r="D10" s="62"/>
      <c r="E10" s="62"/>
      <c r="F10" s="54"/>
      <c r="G10" s="57" t="s">
        <v>33</v>
      </c>
      <c r="H10" s="62"/>
    </row>
    <row r="11" spans="1:8" x14ac:dyDescent="0.25">
      <c r="A11" s="62"/>
      <c r="B11" s="62"/>
      <c r="C11" s="62"/>
      <c r="D11" s="62"/>
      <c r="E11" s="62"/>
      <c r="F11" s="54"/>
      <c r="G11" s="57" t="s">
        <v>41</v>
      </c>
      <c r="H11" s="62"/>
    </row>
    <row r="12" spans="1:8" x14ac:dyDescent="0.25">
      <c r="A12" s="62"/>
      <c r="B12" s="62"/>
      <c r="C12" s="62"/>
      <c r="D12" s="62"/>
      <c r="E12" s="62"/>
      <c r="F12" s="54"/>
      <c r="G12" s="57" t="s">
        <v>19</v>
      </c>
      <c r="H12" s="62"/>
    </row>
    <row r="13" spans="1:8" x14ac:dyDescent="0.25">
      <c r="A13" s="62"/>
      <c r="B13" s="62"/>
      <c r="C13" s="62"/>
      <c r="D13" s="62"/>
      <c r="E13" s="62"/>
      <c r="F13" s="54"/>
      <c r="G13" s="57" t="s">
        <v>18</v>
      </c>
      <c r="H13" s="62"/>
    </row>
    <row r="14" spans="1:8" x14ac:dyDescent="0.25">
      <c r="A14" s="62"/>
      <c r="B14" s="62"/>
      <c r="C14" s="62"/>
      <c r="D14" s="62"/>
      <c r="E14" s="62"/>
      <c r="F14" s="54"/>
      <c r="G14" s="57" t="s">
        <v>14</v>
      </c>
      <c r="H14" s="62"/>
    </row>
    <row r="15" spans="1:8" x14ac:dyDescent="0.25">
      <c r="A15" s="62"/>
      <c r="B15" s="62"/>
      <c r="C15" s="62"/>
      <c r="D15" s="62"/>
      <c r="E15" s="62"/>
      <c r="F15" s="56" t="s">
        <v>26</v>
      </c>
      <c r="G15" s="71" t="s">
        <v>54</v>
      </c>
      <c r="H15" s="62"/>
    </row>
    <row r="16" spans="1:8" x14ac:dyDescent="0.25">
      <c r="A16" s="62"/>
      <c r="B16" s="62"/>
      <c r="C16" s="62"/>
      <c r="D16" s="62"/>
      <c r="E16" s="62"/>
      <c r="F16" s="54"/>
      <c r="G16" s="72" t="s">
        <v>55</v>
      </c>
      <c r="H16" s="62"/>
    </row>
    <row r="17" spans="1:8" x14ac:dyDescent="0.25">
      <c r="A17" s="62"/>
      <c r="B17" s="62"/>
      <c r="C17" s="62"/>
      <c r="D17" s="62"/>
      <c r="E17" s="62"/>
      <c r="F17" s="54"/>
      <c r="G17" s="72" t="s">
        <v>49</v>
      </c>
      <c r="H17" s="62"/>
    </row>
    <row r="18" spans="1:8" x14ac:dyDescent="0.25">
      <c r="A18" s="62"/>
      <c r="B18" s="62"/>
      <c r="C18" s="62"/>
      <c r="D18" s="62"/>
      <c r="E18" s="62"/>
      <c r="F18" s="54"/>
      <c r="G18" s="72" t="s">
        <v>50</v>
      </c>
      <c r="H18" s="62"/>
    </row>
    <row r="19" spans="1:8" x14ac:dyDescent="0.25">
      <c r="A19" s="62"/>
      <c r="B19" s="62"/>
      <c r="C19" s="62"/>
      <c r="D19" s="62"/>
      <c r="E19" s="62"/>
      <c r="F19" s="54"/>
      <c r="G19" s="72" t="s">
        <v>51</v>
      </c>
      <c r="H19" s="62"/>
    </row>
    <row r="20" spans="1:8" x14ac:dyDescent="0.25">
      <c r="A20" s="62"/>
      <c r="B20" s="62"/>
      <c r="C20" s="62"/>
      <c r="D20" s="62"/>
      <c r="E20" s="62"/>
      <c r="F20" s="55"/>
      <c r="G20" s="72" t="s">
        <v>52</v>
      </c>
      <c r="H20" s="62"/>
    </row>
    <row r="21" spans="1:8" x14ac:dyDescent="0.25">
      <c r="A21" s="62"/>
      <c r="B21" s="62"/>
      <c r="C21" s="62"/>
      <c r="D21" s="62"/>
      <c r="E21" s="62"/>
      <c r="F21" s="56" t="s">
        <v>29</v>
      </c>
      <c r="G21" s="56" t="s">
        <v>39</v>
      </c>
      <c r="H21" s="62"/>
    </row>
    <row r="22" spans="1:8" x14ac:dyDescent="0.25">
      <c r="A22" s="62"/>
      <c r="B22" s="62"/>
      <c r="C22" s="62"/>
      <c r="D22" s="62"/>
      <c r="E22" s="62"/>
      <c r="F22" s="54"/>
      <c r="G22" s="57" t="s">
        <v>40</v>
      </c>
      <c r="H22" s="62"/>
    </row>
    <row r="23" spans="1:8" x14ac:dyDescent="0.25">
      <c r="A23" s="62"/>
      <c r="B23" s="62"/>
      <c r="C23" s="62"/>
      <c r="D23" s="62"/>
      <c r="E23" s="62"/>
      <c r="F23" s="54"/>
      <c r="G23" s="57" t="s">
        <v>56</v>
      </c>
      <c r="H23" s="62"/>
    </row>
    <row r="24" spans="1:8" x14ac:dyDescent="0.25">
      <c r="A24" s="62"/>
      <c r="B24" s="62"/>
      <c r="C24" s="62"/>
      <c r="D24" s="62"/>
      <c r="E24" s="62"/>
      <c r="F24" s="54"/>
      <c r="G24" s="57" t="s">
        <v>15</v>
      </c>
      <c r="H24" s="62"/>
    </row>
    <row r="25" spans="1:8" x14ac:dyDescent="0.25">
      <c r="A25" s="62"/>
      <c r="B25" s="62"/>
      <c r="C25" s="62"/>
      <c r="D25" s="62"/>
      <c r="E25" s="62"/>
      <c r="F25" s="54"/>
      <c r="G25" s="57" t="s">
        <v>16</v>
      </c>
      <c r="H25" s="62"/>
    </row>
    <row r="26" spans="1:8" x14ac:dyDescent="0.25">
      <c r="A26" s="62"/>
      <c r="B26" s="62"/>
      <c r="C26" s="62"/>
      <c r="D26" s="62"/>
      <c r="E26" s="62"/>
      <c r="F26" s="55"/>
      <c r="G26" s="57" t="s">
        <v>17</v>
      </c>
      <c r="H26" s="62"/>
    </row>
    <row r="27" spans="1:8" x14ac:dyDescent="0.25">
      <c r="A27" s="62"/>
      <c r="B27" s="62"/>
      <c r="C27" s="62"/>
      <c r="D27" s="62"/>
      <c r="E27" s="62"/>
      <c r="F27" s="56" t="s">
        <v>27</v>
      </c>
      <c r="G27" s="56" t="s">
        <v>34</v>
      </c>
      <c r="H27" s="62"/>
    </row>
    <row r="28" spans="1:8" x14ac:dyDescent="0.25">
      <c r="A28" s="62"/>
      <c r="B28" s="62"/>
      <c r="C28" s="62"/>
      <c r="D28" s="62"/>
      <c r="E28" s="62"/>
      <c r="F28" s="54"/>
      <c r="G28" s="57" t="s">
        <v>35</v>
      </c>
      <c r="H28" s="62"/>
    </row>
    <row r="29" spans="1:8" x14ac:dyDescent="0.25">
      <c r="A29" s="62"/>
      <c r="B29" s="62"/>
      <c r="C29" s="62"/>
      <c r="D29" s="62"/>
      <c r="E29" s="62"/>
      <c r="F29" s="54"/>
      <c r="G29" s="57" t="s">
        <v>36</v>
      </c>
      <c r="H29" s="62"/>
    </row>
    <row r="30" spans="1:8" x14ac:dyDescent="0.25">
      <c r="A30" s="62"/>
      <c r="B30" s="62"/>
      <c r="C30" s="62"/>
      <c r="D30" s="62"/>
      <c r="E30" s="62"/>
      <c r="F30" s="54"/>
      <c r="G30" s="57" t="s">
        <v>37</v>
      </c>
      <c r="H30" s="62"/>
    </row>
    <row r="31" spans="1:8" x14ac:dyDescent="0.25">
      <c r="A31" s="62"/>
      <c r="B31" s="62"/>
      <c r="C31" s="62"/>
      <c r="D31" s="62"/>
      <c r="E31" s="62"/>
      <c r="F31" s="54"/>
      <c r="G31" s="57" t="s">
        <v>38</v>
      </c>
      <c r="H31" s="62"/>
    </row>
    <row r="32" spans="1:8" x14ac:dyDescent="0.25">
      <c r="A32" s="62"/>
      <c r="B32" s="62"/>
      <c r="C32" s="62"/>
      <c r="D32" s="62"/>
      <c r="E32" s="62"/>
      <c r="F32" s="55"/>
      <c r="G32" s="57" t="s">
        <v>42</v>
      </c>
      <c r="H32" s="62"/>
    </row>
    <row r="33" spans="1:8" x14ac:dyDescent="0.25">
      <c r="A33" s="62"/>
      <c r="B33" s="62"/>
      <c r="C33" s="62"/>
      <c r="D33" s="62"/>
      <c r="E33" s="62"/>
      <c r="F33" s="56" t="s">
        <v>30</v>
      </c>
      <c r="G33" s="56"/>
      <c r="H33" s="62"/>
    </row>
    <row r="34" spans="1:8" x14ac:dyDescent="0.25">
      <c r="A34" s="62"/>
      <c r="B34" s="62"/>
      <c r="C34" s="62"/>
      <c r="D34" s="62"/>
      <c r="E34" s="62"/>
      <c r="F34" s="54"/>
      <c r="G34" s="57"/>
      <c r="H34" s="62"/>
    </row>
    <row r="35" spans="1:8" x14ac:dyDescent="0.25">
      <c r="A35" s="62"/>
      <c r="B35" s="62"/>
      <c r="C35" s="62"/>
      <c r="D35" s="62"/>
      <c r="E35" s="62"/>
      <c r="F35" s="54"/>
      <c r="G35" s="57"/>
      <c r="H35" s="62"/>
    </row>
    <row r="36" spans="1:8" x14ac:dyDescent="0.25">
      <c r="A36" s="62"/>
      <c r="B36" s="62"/>
      <c r="C36" s="62"/>
      <c r="D36" s="62"/>
      <c r="E36" s="62"/>
      <c r="F36" s="54"/>
      <c r="G36" s="57"/>
      <c r="H36" s="62"/>
    </row>
    <row r="37" spans="1:8" x14ac:dyDescent="0.25">
      <c r="A37" s="62"/>
      <c r="B37" s="62"/>
      <c r="C37" s="62"/>
      <c r="D37" s="62"/>
      <c r="E37" s="62"/>
      <c r="F37" s="54"/>
      <c r="G37" s="57"/>
      <c r="H37" s="62"/>
    </row>
    <row r="38" spans="1:8" x14ac:dyDescent="0.25">
      <c r="A38" s="62"/>
      <c r="B38" s="62"/>
      <c r="C38" s="62"/>
      <c r="D38" s="62"/>
      <c r="E38" s="62"/>
      <c r="F38" s="55"/>
      <c r="G38" s="58"/>
      <c r="H38" s="62"/>
    </row>
    <row r="39" spans="1:8" x14ac:dyDescent="0.25">
      <c r="A39" s="62"/>
      <c r="B39" s="62"/>
      <c r="C39" s="62"/>
      <c r="D39" s="62"/>
      <c r="E39" s="62"/>
      <c r="F39" s="62"/>
      <c r="G39" s="62"/>
      <c r="H39" s="6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9"/>
  <sheetViews>
    <sheetView showZeros="0" tabSelected="1" zoomScale="70" zoomScaleNormal="70" zoomScalePageLayoutView="7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Y38" sqref="Y38"/>
    </sheetView>
  </sheetViews>
  <sheetFormatPr baseColWidth="10" defaultRowHeight="16.5" x14ac:dyDescent="0.25"/>
  <cols>
    <col min="1" max="1" width="12.5703125" style="13" customWidth="1"/>
    <col min="2" max="2" width="40" style="13" customWidth="1"/>
    <col min="3" max="3" width="10.42578125" style="13" customWidth="1"/>
    <col min="4" max="4" width="8.28515625" style="13" customWidth="1"/>
    <col min="5" max="5" width="1.42578125" style="5" customWidth="1"/>
    <col min="6" max="6" width="8" style="13" bestFit="1" customWidth="1"/>
    <col min="7" max="7" width="1.42578125" style="5" customWidth="1"/>
    <col min="8" max="8" width="7.85546875" style="13" customWidth="1"/>
    <col min="9" max="9" width="1.42578125" style="5" customWidth="1"/>
    <col min="10" max="10" width="8" style="13" customWidth="1"/>
    <col min="11" max="11" width="1.42578125" style="5" customWidth="1"/>
    <col min="12" max="12" width="7.85546875" style="13" bestFit="1" customWidth="1"/>
    <col min="13" max="13" width="1.42578125" style="5" customWidth="1"/>
    <col min="14" max="14" width="8.28515625" style="13" bestFit="1" customWidth="1"/>
    <col min="15" max="15" width="1.42578125" style="5" customWidth="1"/>
    <col min="16" max="16" width="8.28515625" style="13" bestFit="1" customWidth="1"/>
    <col min="17" max="17" width="1.42578125" style="5" customWidth="1"/>
    <col min="18" max="18" width="7.85546875" style="13" bestFit="1" customWidth="1"/>
    <col min="19" max="19" width="1.42578125" style="5" customWidth="1"/>
    <col min="20" max="20" width="7.85546875" style="13" bestFit="1" customWidth="1"/>
    <col min="21" max="16384" width="11.42578125" style="13"/>
  </cols>
  <sheetData>
    <row r="1" spans="1:21" s="5" customFormat="1" ht="26.25" x14ac:dyDescent="0.25">
      <c r="A1" s="34" t="s">
        <v>10</v>
      </c>
      <c r="B1" s="37" t="str">
        <f>CONCATENATE(Base!A3," - ",Base!A4)</f>
        <v>Location - Matériel</v>
      </c>
      <c r="C1" s="33"/>
      <c r="D1" s="114" t="s">
        <v>57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</row>
    <row r="2" spans="1:21" s="10" customFormat="1" ht="59.25" customHeight="1" thickBot="1" x14ac:dyDescent="0.35">
      <c r="A2" s="35"/>
      <c r="B2" s="7" t="s">
        <v>0</v>
      </c>
      <c r="C2" s="6"/>
      <c r="D2" s="8">
        <f>Base!B3</f>
        <v>44228</v>
      </c>
      <c r="E2" s="9"/>
      <c r="F2" s="65">
        <f>D2+7</f>
        <v>44235</v>
      </c>
      <c r="G2" s="9"/>
      <c r="H2" s="8">
        <f>F2+7</f>
        <v>44242</v>
      </c>
      <c r="I2" s="9"/>
      <c r="J2" s="8">
        <f>H2+7</f>
        <v>44249</v>
      </c>
      <c r="K2" s="9"/>
      <c r="L2" s="8">
        <f>J2+7</f>
        <v>44256</v>
      </c>
      <c r="M2" s="9"/>
      <c r="N2" s="8">
        <f>L2+7</f>
        <v>44263</v>
      </c>
      <c r="O2" s="9"/>
      <c r="P2" s="65">
        <f>N2+7</f>
        <v>44270</v>
      </c>
      <c r="Q2" s="9"/>
      <c r="R2" s="113">
        <f>P2+7</f>
        <v>44277</v>
      </c>
      <c r="S2" s="9"/>
      <c r="T2" s="113">
        <f>R2+7</f>
        <v>44284</v>
      </c>
      <c r="U2" s="64"/>
    </row>
    <row r="3" spans="1:21" ht="18.75" customHeight="1" thickBot="1" x14ac:dyDescent="0.3">
      <c r="A3" s="11" t="s">
        <v>5</v>
      </c>
      <c r="B3" s="12">
        <f>SUM(D3:T3)</f>
        <v>0.16666666666666666</v>
      </c>
      <c r="D3" s="14">
        <f>SUMIF($C$8:$C$9992,$C8,D$8:D$9992)</f>
        <v>0.125</v>
      </c>
      <c r="E3" s="15"/>
      <c r="F3" s="14">
        <f>SUMIF($C$8:$C$9992,$C8,F$8:F$9992)</f>
        <v>0</v>
      </c>
      <c r="G3" s="15"/>
      <c r="H3" s="14">
        <f>SUMIF($C$8:$C$9992,$C8,H$8:H$9992)</f>
        <v>0</v>
      </c>
      <c r="I3" s="15"/>
      <c r="J3" s="14">
        <f>SUMIF($C$8:$C$9992,$C8,J$8:J$9992)</f>
        <v>0</v>
      </c>
      <c r="K3" s="15"/>
      <c r="L3" s="14">
        <f>SUMIF($C$8:$C$9992,$C8,L$8:L$9992)</f>
        <v>0</v>
      </c>
      <c r="M3" s="15"/>
      <c r="N3" s="14">
        <f>SUMIF($C$8:$C$9992,$C8,N$8:N$9992)</f>
        <v>0</v>
      </c>
      <c r="O3" s="15"/>
      <c r="P3" s="14">
        <f>SUMIF($C$8:$C$9992,$C8,P$8:P$9992)</f>
        <v>0</v>
      </c>
      <c r="Q3" s="15"/>
      <c r="R3" s="14">
        <f>SUMIF($C$8:$C$9992,$C8,R$8:R$9992)</f>
        <v>0</v>
      </c>
      <c r="S3" s="15"/>
      <c r="T3" s="14">
        <f>SUMIF($C$8:$C$9992,$C8,T$8:T$9992)</f>
        <v>4.1666666666666664E-2</v>
      </c>
    </row>
    <row r="4" spans="1:21" ht="18" customHeight="1" thickBot="1" x14ac:dyDescent="0.3">
      <c r="A4" s="17" t="s">
        <v>28</v>
      </c>
      <c r="B4" s="18">
        <f>SUM(D4:T4)</f>
        <v>4.1666666666666664E-2</v>
      </c>
      <c r="C4" s="5"/>
      <c r="D4" s="16">
        <f>SUMIF($C$8:$C$9992,$C9,D$8:D$9992)</f>
        <v>4.1666666666666664E-2</v>
      </c>
      <c r="E4" s="15"/>
      <c r="F4" s="16">
        <f>SUMIF($C$8:$C$9992,$C9,F$8:F$9992)</f>
        <v>0</v>
      </c>
      <c r="G4" s="15"/>
      <c r="H4" s="16">
        <f>SUMIF($C$8:$C$9992,$C9,H$8:H$9992)</f>
        <v>0</v>
      </c>
      <c r="I4" s="15"/>
      <c r="J4" s="16">
        <f>SUMIF($C$8:$C$9992,$C9,J$8:J$9992)</f>
        <v>0</v>
      </c>
      <c r="K4" s="15"/>
      <c r="L4" s="16">
        <f>SUMIF($C$8:$C$9992,$C9,L$8:L$9992)</f>
        <v>0</v>
      </c>
      <c r="M4" s="15"/>
      <c r="N4" s="16">
        <f>SUMIF($C$8:$C$9992,$C9,N$8:N$9992)</f>
        <v>0</v>
      </c>
      <c r="O4" s="15"/>
      <c r="P4" s="16">
        <f>SUMIF($C$8:$C$9992,$C9,P$8:P$9992)</f>
        <v>0</v>
      </c>
      <c r="Q4" s="15"/>
      <c r="R4" s="16">
        <f>SUMIF($C$8:$C$9992,$C9,R$8:R$9992)</f>
        <v>0</v>
      </c>
      <c r="S4" s="15"/>
      <c r="T4" s="16">
        <f>SUMIF($C$8:$C$9992,$C9,T$8:T$9992)</f>
        <v>0</v>
      </c>
    </row>
    <row r="5" spans="1:21" ht="15" customHeight="1" thickBot="1" x14ac:dyDescent="0.3">
      <c r="A5" s="4"/>
      <c r="B5" s="4"/>
      <c r="C5" s="19" t="s">
        <v>46</v>
      </c>
      <c r="D5" s="20">
        <f>WEEKNUM(D2,1)</f>
        <v>6</v>
      </c>
      <c r="E5" s="112">
        <f t="shared" ref="E5:T5" si="0">WEEKNUM(E2,1)</f>
        <v>0</v>
      </c>
      <c r="F5" s="20">
        <f t="shared" si="0"/>
        <v>7</v>
      </c>
      <c r="G5" s="112">
        <f t="shared" si="0"/>
        <v>0</v>
      </c>
      <c r="H5" s="20">
        <f t="shared" si="0"/>
        <v>8</v>
      </c>
      <c r="I5" s="20">
        <f t="shared" si="0"/>
        <v>0</v>
      </c>
      <c r="J5" s="20">
        <f t="shared" si="0"/>
        <v>9</v>
      </c>
      <c r="K5" s="112">
        <f t="shared" si="0"/>
        <v>0</v>
      </c>
      <c r="L5" s="20">
        <f t="shared" si="0"/>
        <v>10</v>
      </c>
      <c r="M5" s="112">
        <f t="shared" si="0"/>
        <v>0</v>
      </c>
      <c r="N5" s="20">
        <f t="shared" si="0"/>
        <v>11</v>
      </c>
      <c r="O5" s="20">
        <f t="shared" si="0"/>
        <v>0</v>
      </c>
      <c r="P5" s="20">
        <f t="shared" si="0"/>
        <v>12</v>
      </c>
      <c r="Q5" s="112">
        <f t="shared" si="0"/>
        <v>0</v>
      </c>
      <c r="R5" s="20">
        <f t="shared" si="0"/>
        <v>13</v>
      </c>
      <c r="S5" s="112">
        <f t="shared" si="0"/>
        <v>0</v>
      </c>
      <c r="T5" s="20">
        <f t="shared" si="0"/>
        <v>14</v>
      </c>
    </row>
    <row r="6" spans="1:21" ht="20.25" customHeight="1" x14ac:dyDescent="0.25">
      <c r="A6" s="75" t="str">
        <f>Base!F3</f>
        <v>1 Analyse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21">
        <f>SUMIF($C8:$C19,$C8,U8:U19)</f>
        <v>0.16666666666666666</v>
      </c>
    </row>
    <row r="7" spans="1:21" ht="15" customHeight="1" thickBot="1" x14ac:dyDescent="0.3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22">
        <f>SUMIF($C8:$C19,$C9,U8:U19)</f>
        <v>4.1666666666666664E-2</v>
      </c>
    </row>
    <row r="8" spans="1:21" ht="15" customHeight="1" x14ac:dyDescent="0.25">
      <c r="A8" s="43"/>
      <c r="B8" s="73" t="str">
        <f>Base!G3</f>
        <v>11 Planification initiale</v>
      </c>
      <c r="C8" s="23" t="str">
        <f>A$3</f>
        <v>Prévu</v>
      </c>
      <c r="D8" s="38">
        <v>0.125</v>
      </c>
      <c r="E8" s="39"/>
      <c r="F8" s="42"/>
      <c r="G8" s="39"/>
      <c r="H8" s="38"/>
      <c r="I8" s="40"/>
      <c r="J8" s="41"/>
      <c r="K8" s="40"/>
      <c r="L8" s="42"/>
      <c r="M8" s="39"/>
      <c r="N8" s="41"/>
      <c r="O8" s="39"/>
      <c r="P8" s="42"/>
      <c r="Q8" s="39"/>
      <c r="R8" s="42"/>
      <c r="S8" s="39"/>
      <c r="T8" s="42">
        <v>4.1666666666666664E-2</v>
      </c>
      <c r="U8" s="24">
        <f>IF(SUM(D8:T8)=0,"",SUM(D8:T8))</f>
        <v>0.16666666666666666</v>
      </c>
    </row>
    <row r="9" spans="1:21" ht="15" customHeight="1" thickBot="1" x14ac:dyDescent="0.3">
      <c r="A9" s="43"/>
      <c r="B9" s="74"/>
      <c r="C9" s="25" t="str">
        <f>A$4</f>
        <v>Réalisé</v>
      </c>
      <c r="D9" s="26">
        <f>SUMIFS(Journal!$D$4:$D$9283,Journal!$B$4:$B$9283,D$5,Journal!$C$4:$C$9283,$B8)</f>
        <v>4.1666666666666664E-2</v>
      </c>
      <c r="E9" s="27"/>
      <c r="F9" s="26"/>
      <c r="G9" s="27"/>
      <c r="H9" s="26">
        <f>SUMIFS(Journal!$D$4:$D$9283,Journal!$B$4:$B$9283,H$5,Journal!$C$4:$C$9283,$B8)</f>
        <v>0</v>
      </c>
      <c r="I9" s="28"/>
      <c r="J9" s="26">
        <f>SUMIFS(Journal!$D$4:$D$9283,Journal!$B$4:$B$9283,J$5,Journal!$C$4:$C$9283,$B8)</f>
        <v>0</v>
      </c>
      <c r="K9" s="28"/>
      <c r="L9" s="26">
        <f>SUMIFS(Journal!$D$4:$D$9283,Journal!$B$4:$B$9283,L$5,Journal!$C$4:$C$9283,$B8)</f>
        <v>0</v>
      </c>
      <c r="M9" s="27"/>
      <c r="N9" s="26">
        <f>SUMIFS(Journal!$D$4:$D$9283,Journal!$B$4:$B$9283,N$5,Journal!$C$4:$C$9283,$B8)</f>
        <v>0</v>
      </c>
      <c r="O9" s="27"/>
      <c r="P9" s="26">
        <f>SUMIFS(Journal!$D$4:$D$9283,Journal!$B$4:$B$9283,P$5,Journal!$C$4:$C$9283,$B8)</f>
        <v>0</v>
      </c>
      <c r="Q9" s="27"/>
      <c r="R9" s="26">
        <f>SUMIFS(Journal!$D$4:$D$9283,Journal!$B$4:$B$9283,R$5,Journal!$C$4:$C$9283,$B8)</f>
        <v>0</v>
      </c>
      <c r="S9" s="27"/>
      <c r="T9" s="26">
        <f>SUMIFS(Journal!$D$4:$D$9283,Journal!$B$4:$B$9283,T$5,Journal!$C$4:$C$9283,$B8)</f>
        <v>0</v>
      </c>
      <c r="U9" s="29">
        <f>IF(SUM(D9:T9)=0,"",SUM(D9:T9))</f>
        <v>4.1666666666666664E-2</v>
      </c>
    </row>
    <row r="10" spans="1:21" ht="15" customHeight="1" x14ac:dyDescent="0.25">
      <c r="A10" s="43"/>
      <c r="B10" s="99" t="str">
        <f>Base!G4</f>
        <v xml:space="preserve">12 - </v>
      </c>
      <c r="C10" s="23" t="str">
        <f>A$3</f>
        <v>Prévu</v>
      </c>
      <c r="D10" s="38"/>
      <c r="E10" s="39"/>
      <c r="F10" s="42"/>
      <c r="G10" s="39"/>
      <c r="H10" s="38"/>
      <c r="I10" s="40"/>
      <c r="J10" s="38"/>
      <c r="K10" s="40"/>
      <c r="L10" s="42"/>
      <c r="M10" s="39"/>
      <c r="N10" s="41"/>
      <c r="O10" s="39"/>
      <c r="P10" s="42"/>
      <c r="Q10" s="39"/>
      <c r="R10" s="42"/>
      <c r="S10" s="39"/>
      <c r="T10" s="42"/>
      <c r="U10" s="24" t="str">
        <f>IF(SUM(D10:T10)=0,"",SUM(D10:T10))</f>
        <v/>
      </c>
    </row>
    <row r="11" spans="1:21" ht="15" customHeight="1" thickBot="1" x14ac:dyDescent="0.3">
      <c r="A11" s="43"/>
      <c r="B11" s="74"/>
      <c r="C11" s="25" t="str">
        <f>A$4</f>
        <v>Réalisé</v>
      </c>
      <c r="D11" s="26">
        <f>SUMIFS(Journal!$D$4:$D$9283,Journal!$B$4:$B$9283,D$5,Journal!$C$4:$C$9283,$B10)</f>
        <v>0</v>
      </c>
      <c r="E11" s="27"/>
      <c r="F11" s="26">
        <f>SUMIFS(Journal!$D$4:$D$9283,Journal!$B$4:$B$9283,F$5,Journal!$C$4:$C$9283,$B10)</f>
        <v>0</v>
      </c>
      <c r="G11" s="27"/>
      <c r="H11" s="26">
        <f>SUMIFS(Journal!$D$4:$D$9283,Journal!$B$4:$B$9283,H$5,Journal!$C$4:$C$9283,$B10)</f>
        <v>0</v>
      </c>
      <c r="I11" s="28"/>
      <c r="J11" s="26">
        <f>SUMIFS(Journal!$D$4:$D$9283,Journal!$B$4:$B$9283,J$5,Journal!$C$4:$C$9283,$B10)</f>
        <v>0</v>
      </c>
      <c r="K11" s="28"/>
      <c r="L11" s="26">
        <f>SUMIFS(Journal!$D$4:$D$9283,Journal!$B$4:$B$9283,L$5,Journal!$C$4:$C$9283,$B10)</f>
        <v>0</v>
      </c>
      <c r="M11" s="27"/>
      <c r="N11" s="26">
        <f>SUMIFS(Journal!$D$4:$D$9283,Journal!$B$4:$B$9283,N$5,Journal!$C$4:$C$9283,$B10)</f>
        <v>0</v>
      </c>
      <c r="O11" s="27"/>
      <c r="P11" s="26">
        <f>SUMIFS(Journal!$D$4:$D$9283,Journal!$B$4:$B$9283,P$5,Journal!$C$4:$C$9283,$B10)</f>
        <v>0</v>
      </c>
      <c r="Q11" s="27"/>
      <c r="R11" s="26">
        <f>SUMIFS(Journal!$D$4:$D$9283,Journal!$B$4:$B$9283,R$5,Journal!$C$4:$C$9283,$B10)</f>
        <v>0</v>
      </c>
      <c r="S11" s="27"/>
      <c r="T11" s="26">
        <f>SUMIFS(Journal!$D$4:$D$9283,Journal!$B$4:$B$9283,T$5,Journal!$C$4:$C$9283,$B10)</f>
        <v>0</v>
      </c>
      <c r="U11" s="29" t="str">
        <f>IF(SUM(D11:T11)=0,"",SUM(D11:T11))</f>
        <v/>
      </c>
    </row>
    <row r="12" spans="1:21" ht="15" customHeight="1" x14ac:dyDescent="0.25">
      <c r="A12" s="43"/>
      <c r="B12" s="99" t="str">
        <f>Base!G5</f>
        <v xml:space="preserve">13 - </v>
      </c>
      <c r="C12" s="23" t="str">
        <f>A$3</f>
        <v>Prévu</v>
      </c>
      <c r="D12" s="38"/>
      <c r="E12" s="39"/>
      <c r="F12" s="42"/>
      <c r="G12" s="39"/>
      <c r="H12" s="38"/>
      <c r="I12" s="40"/>
      <c r="J12" s="41"/>
      <c r="K12" s="40"/>
      <c r="L12" s="42"/>
      <c r="M12" s="39"/>
      <c r="N12" s="41"/>
      <c r="O12" s="39"/>
      <c r="P12" s="42"/>
      <c r="Q12" s="39"/>
      <c r="S12" s="39"/>
      <c r="T12" s="42"/>
      <c r="U12" s="24" t="str">
        <f>IF(SUM(D12:T12)=0,"",SUM(D12:T12))</f>
        <v/>
      </c>
    </row>
    <row r="13" spans="1:21" ht="15" customHeight="1" thickBot="1" x14ac:dyDescent="0.3">
      <c r="A13" s="43"/>
      <c r="B13" s="74"/>
      <c r="C13" s="25" t="str">
        <f>A$4</f>
        <v>Réalisé</v>
      </c>
      <c r="D13" s="26">
        <f>SUMIFS(Journal!$D$4:$D$9283,Journal!$B$4:$B$9283,D$5,Journal!$C$4:$C$9283,$B12)</f>
        <v>0</v>
      </c>
      <c r="E13" s="27"/>
      <c r="F13" s="26">
        <f>SUMIFS(Journal!$D$4:$D$9283,Journal!$B$4:$B$9283,F$5,Journal!$C$4:$C$9283,$B12)</f>
        <v>0</v>
      </c>
      <c r="G13" s="27"/>
      <c r="H13" s="26">
        <f>SUMIFS(Journal!$D$4:$D$9283,Journal!$B$4:$B$9283,H$5,Journal!$C$4:$C$9283,$B12)</f>
        <v>0</v>
      </c>
      <c r="I13" s="28"/>
      <c r="J13" s="26">
        <f>SUMIFS(Journal!$D$4:$D$9283,Journal!$B$4:$B$9283,J$5,Journal!$C$4:$C$9283,$B12)</f>
        <v>0</v>
      </c>
      <c r="K13" s="28"/>
      <c r="L13" s="26">
        <f>SUMIFS(Journal!$D$4:$D$9283,Journal!$B$4:$B$9283,L$5,Journal!$C$4:$C$9283,$B12)</f>
        <v>0</v>
      </c>
      <c r="M13" s="27"/>
      <c r="N13" s="26">
        <f>SUMIFS(Journal!$D$4:$D$9283,Journal!$B$4:$B$9283,N$5,Journal!$C$4:$C$9283,$B12)</f>
        <v>0</v>
      </c>
      <c r="O13" s="27"/>
      <c r="P13" s="26">
        <f>SUMIFS(Journal!$D$4:$D$9283,Journal!$B$4:$B$9283,P$5,Journal!$C$4:$C$9283,$B12)</f>
        <v>0</v>
      </c>
      <c r="Q13" s="27"/>
      <c r="R13" s="26">
        <f>SUMIFS(Journal!$D$4:$D$9283,Journal!$B$4:$B$9283,R$5,Journal!$C$4:$C$9283,$B12)</f>
        <v>0</v>
      </c>
      <c r="S13" s="27"/>
      <c r="T13" s="26">
        <f>SUMIFS(Journal!$D$4:$D$9283,Journal!$B$4:$B$9283,T$5,Journal!$C$4:$C$9283,$B12)</f>
        <v>0</v>
      </c>
      <c r="U13" s="29" t="str">
        <f>IF(SUM(D13:T13)=0,"",SUM(D13:T13))</f>
        <v/>
      </c>
    </row>
    <row r="14" spans="1:21" ht="15" customHeight="1" x14ac:dyDescent="0.25">
      <c r="A14" s="43"/>
      <c r="B14" s="99" t="str">
        <f>Base!G6</f>
        <v>14 -</v>
      </c>
      <c r="C14" s="23" t="str">
        <f>A$3</f>
        <v>Prévu</v>
      </c>
      <c r="D14" s="41"/>
      <c r="E14" s="39"/>
      <c r="F14" s="38"/>
      <c r="G14" s="40"/>
      <c r="H14" s="41"/>
      <c r="I14" s="40"/>
      <c r="J14" s="42"/>
      <c r="K14" s="39"/>
      <c r="L14" s="38"/>
      <c r="M14" s="39"/>
      <c r="N14" s="38"/>
      <c r="O14" s="39"/>
      <c r="P14" s="38"/>
      <c r="Q14" s="39"/>
      <c r="R14" s="38"/>
      <c r="S14" s="39"/>
      <c r="T14" s="38"/>
      <c r="U14" s="24" t="str">
        <f>IF(SUM(D14:T14)=0,"",SUM(D14:T14))</f>
        <v/>
      </c>
    </row>
    <row r="15" spans="1:21" ht="15" customHeight="1" thickBot="1" x14ac:dyDescent="0.3">
      <c r="A15" s="43"/>
      <c r="B15" s="74"/>
      <c r="C15" s="25" t="str">
        <f>A$4</f>
        <v>Réalisé</v>
      </c>
      <c r="D15" s="26">
        <f>SUMIFS(Journal!$D$4:$D$9283,Journal!$B$4:$B$9283,D$5,Journal!$C$4:$C$9283,$B14)</f>
        <v>0</v>
      </c>
      <c r="E15" s="27"/>
      <c r="F15" s="26">
        <f>SUMIFS(Journal!$D$4:$D$9283,Journal!$B$4:$B$9283,F$5,Journal!$C$4:$C$9283,$B14)</f>
        <v>0</v>
      </c>
      <c r="G15" s="28"/>
      <c r="H15" s="26">
        <f>SUMIFS(Journal!$D$4:$D$9283,Journal!$B$4:$B$9283,H$5,Journal!$C$4:$C$9283,$B14)</f>
        <v>0</v>
      </c>
      <c r="I15" s="28"/>
      <c r="J15" s="26">
        <f>SUMIFS(Journal!$D$4:$D$9283,Journal!$B$4:$B$9283,J$5,Journal!$C$4:$C$9283,$B14)</f>
        <v>0</v>
      </c>
      <c r="K15" s="27"/>
      <c r="L15" s="26">
        <f>SUMIFS(Journal!$D$4:$D$9283,Journal!$B$4:$B$9283,L$5,Journal!$C$4:$C$9283,$B14)</f>
        <v>0</v>
      </c>
      <c r="M15" s="27"/>
      <c r="N15" s="26">
        <f>SUMIFS(Journal!$D$4:$D$9283,Journal!$B$4:$B$9283,N$5,Journal!$C$4:$C$9283,$B14)</f>
        <v>0</v>
      </c>
      <c r="O15" s="27"/>
      <c r="P15" s="26">
        <f>SUMIFS(Journal!$D$4:$D$9283,Journal!$B$4:$B$9283,P$5,Journal!$C$4:$C$9283,$B14)</f>
        <v>0</v>
      </c>
      <c r="Q15" s="27"/>
      <c r="R15" s="26">
        <f>SUMIFS(Journal!$D$4:$D$9283,Journal!$B$4:$B$9283,R$5,Journal!$C$4:$C$9283,$B14)</f>
        <v>0</v>
      </c>
      <c r="S15" s="27"/>
      <c r="T15" s="26">
        <f>SUMIFS(Journal!$D$4:$D$9283,Journal!$B$4:$B$9283,T$5,Journal!$C$4:$C$9283,$B14)</f>
        <v>0</v>
      </c>
      <c r="U15" s="29" t="str">
        <f>IF(SUM(D15:T15)=0,"",SUM(D15:T15))</f>
        <v/>
      </c>
    </row>
    <row r="16" spans="1:21" ht="15" customHeight="1" x14ac:dyDescent="0.25">
      <c r="A16" s="43"/>
      <c r="B16" s="99" t="str">
        <f>Base!G7</f>
        <v xml:space="preserve">15 -                                                 </v>
      </c>
      <c r="C16" s="23" t="str">
        <f>A$3</f>
        <v>Prévu</v>
      </c>
      <c r="D16" s="38"/>
      <c r="E16" s="39"/>
      <c r="F16" s="38"/>
      <c r="G16" s="40"/>
      <c r="H16" s="38"/>
      <c r="I16" s="40"/>
      <c r="J16" s="42"/>
      <c r="K16" s="39"/>
      <c r="L16" s="42"/>
      <c r="M16" s="39"/>
      <c r="N16" s="41"/>
      <c r="O16" s="39"/>
      <c r="P16" s="42"/>
      <c r="Q16" s="39"/>
      <c r="R16" s="38"/>
      <c r="S16" s="39"/>
      <c r="T16" s="38"/>
      <c r="U16" s="24" t="str">
        <f>IF(SUM(D16:T16)=0,"",SUM(D16:T16))</f>
        <v/>
      </c>
    </row>
    <row r="17" spans="1:21" ht="15" customHeight="1" thickBot="1" x14ac:dyDescent="0.3">
      <c r="A17" s="43"/>
      <c r="B17" s="74"/>
      <c r="C17" s="25" t="str">
        <f>A$4</f>
        <v>Réalisé</v>
      </c>
      <c r="D17" s="26">
        <f>SUMIFS(Journal!$D$4:$D$9283,Journal!$B$4:$B$9283,D$5,Journal!$C$4:$C$9283,$B16)</f>
        <v>0</v>
      </c>
      <c r="E17" s="27"/>
      <c r="F17" s="26">
        <f>SUMIFS(Journal!$D$4:$D$9283,Journal!$B$4:$B$9283,F$5,Journal!$C$4:$C$9283,$B16)</f>
        <v>0</v>
      </c>
      <c r="G17" s="28"/>
      <c r="H17" s="26">
        <f>SUMIFS(Journal!$D$4:$D$9283,Journal!$B$4:$B$9283,H$5,Journal!$C$4:$C$9283,$B16)</f>
        <v>0</v>
      </c>
      <c r="I17" s="28"/>
      <c r="J17" s="26">
        <f>SUMIFS(Journal!$D$4:$D$9283,Journal!$B$4:$B$9283,J$5,Journal!$C$4:$C$9283,$B16)</f>
        <v>0</v>
      </c>
      <c r="K17" s="27"/>
      <c r="L17" s="26">
        <f>SUMIFS(Journal!$D$4:$D$9283,Journal!$B$4:$B$9283,L$5,Journal!$C$4:$C$9283,$B16)</f>
        <v>0</v>
      </c>
      <c r="M17" s="27"/>
      <c r="N17" s="26">
        <f>SUMIFS(Journal!$D$4:$D$9283,Journal!$B$4:$B$9283,N$5,Journal!$C$4:$C$9283,$B16)</f>
        <v>0</v>
      </c>
      <c r="O17" s="27"/>
      <c r="P17" s="26">
        <f>SUMIFS(Journal!$D$4:$D$9283,Journal!$B$4:$B$9283,P$5,Journal!$C$4:$C$9283,$B16)</f>
        <v>0</v>
      </c>
      <c r="Q17" s="27"/>
      <c r="R17" s="26">
        <f>SUMIFS(Journal!$D$4:$D$9283,Journal!$B$4:$B$9283,R$5,Journal!$C$4:$C$9283,$B16)</f>
        <v>0</v>
      </c>
      <c r="S17" s="27"/>
      <c r="T17" s="26">
        <f>SUMIFS(Journal!$D$4:$D$9283,Journal!$B$4:$B$9283,T$5,Journal!$C$4:$C$9283,$B16)</f>
        <v>0</v>
      </c>
      <c r="U17" s="29" t="str">
        <f>IF(SUM(D17:T17)=0,"",SUM(D17:T17))</f>
        <v/>
      </c>
    </row>
    <row r="18" spans="1:21" ht="15" customHeight="1" x14ac:dyDescent="0.25">
      <c r="A18" s="43"/>
      <c r="B18" s="99" t="str">
        <f>Base!G8</f>
        <v xml:space="preserve">16 - </v>
      </c>
      <c r="C18" s="23" t="str">
        <f>A$3</f>
        <v>Prévu</v>
      </c>
      <c r="D18" s="41"/>
      <c r="E18" s="39"/>
      <c r="F18" s="38"/>
      <c r="G18" s="40"/>
      <c r="H18" s="41"/>
      <c r="I18" s="40"/>
      <c r="J18" s="42"/>
      <c r="K18" s="39"/>
      <c r="L18" s="38"/>
      <c r="M18" s="39"/>
      <c r="N18" s="38"/>
      <c r="O18" s="39"/>
      <c r="P18" s="38"/>
      <c r="Q18" s="39"/>
      <c r="R18" s="38"/>
      <c r="S18" s="39"/>
      <c r="T18" s="38"/>
      <c r="U18" s="24" t="str">
        <f>IF(SUM(D18:T18)=0,"",SUM(D18:T18))</f>
        <v/>
      </c>
    </row>
    <row r="19" spans="1:21" ht="15" customHeight="1" thickBot="1" x14ac:dyDescent="0.3">
      <c r="A19" s="43"/>
      <c r="B19" s="100"/>
      <c r="C19" s="25" t="str">
        <f>A$4</f>
        <v>Réalisé</v>
      </c>
      <c r="D19" s="26">
        <f>SUMIFS(Journal!$D$4:$D$9283,Journal!$B$4:$B$9283,D$5,Journal!$C$4:$C$9283,$B18)</f>
        <v>0</v>
      </c>
      <c r="E19" s="27"/>
      <c r="F19" s="26">
        <f>SUMIFS(Journal!$D$4:$D$9283,Journal!$B$4:$B$9283,F$5,Journal!$C$4:$C$9283,$B18)</f>
        <v>0</v>
      </c>
      <c r="G19" s="28"/>
      <c r="H19" s="26">
        <f>SUMIFS(Journal!$D$4:$D$9283,Journal!$B$4:$B$9283,H$5,Journal!$C$4:$C$9283,$B18)</f>
        <v>0</v>
      </c>
      <c r="I19" s="28"/>
      <c r="J19" s="26">
        <f>SUMIFS(Journal!$D$4:$D$9283,Journal!$B$4:$B$9283,J$5,Journal!$C$4:$C$9283,$B18)</f>
        <v>0</v>
      </c>
      <c r="K19" s="27"/>
      <c r="L19" s="26">
        <f>SUMIFS(Journal!$D$4:$D$9283,Journal!$B$4:$B$9283,L$5,Journal!$C$4:$C$9283,$B18)</f>
        <v>0</v>
      </c>
      <c r="M19" s="27"/>
      <c r="N19" s="26">
        <f>SUMIFS(Journal!$D$4:$D$9283,Journal!$B$4:$B$9283,N$5,Journal!$C$4:$C$9283,$B18)</f>
        <v>0</v>
      </c>
      <c r="O19" s="27"/>
      <c r="P19" s="26">
        <f>SUMIFS(Journal!$D$4:$D$9283,Journal!$B$4:$B$9283,P$5,Journal!$C$4:$C$9283,$B18)</f>
        <v>0</v>
      </c>
      <c r="Q19" s="27"/>
      <c r="R19" s="26">
        <f>SUMIFS(Journal!$D$4:$D$9283,Journal!$B$4:$B$9283,R$5,Journal!$C$4:$C$9283,$B18)</f>
        <v>0</v>
      </c>
      <c r="S19" s="27"/>
      <c r="T19" s="26">
        <f>SUMIFS(Journal!$D$4:$D$9283,Journal!$B$4:$B$9283,T$5,Journal!$C$4:$C$9283,$B18)</f>
        <v>0</v>
      </c>
      <c r="U19" s="29" t="str">
        <f>IF(SUM(D19:T19)=0,"",SUM(D19:T19))</f>
        <v/>
      </c>
    </row>
    <row r="20" spans="1:21" ht="15" customHeight="1" x14ac:dyDescent="0.25">
      <c r="A20" s="79" t="str">
        <f>Base!F9</f>
        <v>2 Conception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21">
        <f>SUMIF($C22:$C33,$C22,U22:U33)</f>
        <v>0</v>
      </c>
    </row>
    <row r="21" spans="1:21" ht="15" customHeight="1" thickBot="1" x14ac:dyDescent="0.3">
      <c r="A21" s="81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22">
        <f>SUMIF($C22:$C33,$C23,U22:U33)</f>
        <v>0</v>
      </c>
    </row>
    <row r="22" spans="1:21" ht="15" customHeight="1" x14ac:dyDescent="0.25">
      <c r="A22" s="43"/>
      <c r="B22" s="73" t="str">
        <f>Base!G9</f>
        <v>21 Base de données (MCD, MLD)</v>
      </c>
      <c r="C22" s="23" t="str">
        <f>A$3</f>
        <v>Prévu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21"/>
    </row>
    <row r="23" spans="1:21" ht="15" customHeight="1" thickBot="1" x14ac:dyDescent="0.3">
      <c r="A23" s="43"/>
      <c r="B23" s="74"/>
      <c r="C23" s="25" t="str">
        <f>A$4</f>
        <v>Réalisé</v>
      </c>
      <c r="D23" s="26">
        <f>SUMIFS(Journal!$D$4:$D$9283,Journal!$B$4:$B$9283,D$5,Journal!$C$4:$C$9283,$B22)</f>
        <v>0</v>
      </c>
      <c r="E23" s="26">
        <f>SUMIFS(Journal!$D$4:$D$9283,Journal!$B$4:$B$9283,E$5,Journal!$C$4:$C$9283,$B22)</f>
        <v>0</v>
      </c>
      <c r="F23" s="26">
        <f>SUMIFS(Journal!$D$4:$D$9283,Journal!$B$4:$B$9283,F$5,Journal!$C$4:$C$9283,$B22)</f>
        <v>0</v>
      </c>
      <c r="G23" s="26">
        <f>SUMIFS(Journal!$D$4:$D$9283,Journal!$B$4:$B$9283,G$5,Journal!$C$4:$C$9283,$B22)</f>
        <v>0</v>
      </c>
      <c r="H23" s="26">
        <f>SUMIFS(Journal!$D$4:$D$9283,Journal!$B$4:$B$9283,H$5,Journal!$C$4:$C$9283,$B22)</f>
        <v>0</v>
      </c>
      <c r="I23" s="26">
        <f>SUMIFS(Journal!$D$4:$D$9283,Journal!$B$4:$B$9283,I$5,Journal!$C$4:$C$9283,$B22)</f>
        <v>0</v>
      </c>
      <c r="J23" s="26">
        <f>SUMIFS(Journal!$D$4:$D$9283,Journal!$B$4:$B$9283,J$5,Journal!$C$4:$C$9283,$B22)</f>
        <v>0</v>
      </c>
      <c r="K23" s="26">
        <f>SUMIFS(Journal!$D$4:$D$9283,Journal!$B$4:$B$9283,K$5,Journal!$C$4:$C$9283,$B22)</f>
        <v>0</v>
      </c>
      <c r="L23" s="26">
        <f>SUMIFS(Journal!$D$4:$D$9283,Journal!$B$4:$B$9283,L$5,Journal!$C$4:$C$9283,$B22)</f>
        <v>0</v>
      </c>
      <c r="M23" s="26">
        <f>SUMIFS(Journal!$D$4:$D$9283,Journal!$B$4:$B$9283,M$5,Journal!$C$4:$C$9283,$B22)</f>
        <v>0</v>
      </c>
      <c r="N23" s="26">
        <f>SUMIFS(Journal!$D$4:$D$9283,Journal!$B$4:$B$9283,N$5,Journal!$C$4:$C$9283,$B22)</f>
        <v>0</v>
      </c>
      <c r="O23" s="26">
        <f>SUMIFS(Journal!$D$4:$D$9283,Journal!$B$4:$B$9283,O$5,Journal!$C$4:$C$9283,$B22)</f>
        <v>0</v>
      </c>
      <c r="P23" s="26">
        <f>SUMIFS(Journal!$D$4:$D$9283,Journal!$B$4:$B$9283,P$5,Journal!$C$4:$C$9283,$B22)</f>
        <v>0</v>
      </c>
      <c r="Q23" s="26">
        <f>SUMIFS(Journal!$D$4:$D$9283,Journal!$B$4:$B$9283,Q$5,Journal!$C$4:$C$9283,$B22)</f>
        <v>0</v>
      </c>
      <c r="R23" s="26">
        <f>SUMIFS(Journal!$D$4:$D$9283,Journal!$B$4:$B$9283,R$5,Journal!$C$4:$C$9283,$B22)</f>
        <v>0</v>
      </c>
      <c r="S23" s="26">
        <f>SUMIFS(Journal!$D$4:$D$9283,Journal!$B$4:$B$9283,S$5,Journal!$C$4:$C$9283,$B22)</f>
        <v>0</v>
      </c>
      <c r="T23" s="26">
        <f>SUMIFS(Journal!$D$4:$D$9283,Journal!$B$4:$B$9283,T$5,Journal!$C$4:$C$9283,$B22)</f>
        <v>0</v>
      </c>
      <c r="U23" s="22"/>
    </row>
    <row r="24" spans="1:21" ht="15" customHeight="1" x14ac:dyDescent="0.25">
      <c r="A24" s="43"/>
      <c r="B24" s="99" t="str">
        <f>Base!G10</f>
        <v>22 Maquettes</v>
      </c>
      <c r="C24" s="23" t="str">
        <f>A$3</f>
        <v>Prévu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21"/>
    </row>
    <row r="25" spans="1:21" ht="15" customHeight="1" thickBot="1" x14ac:dyDescent="0.3">
      <c r="A25" s="43"/>
      <c r="B25" s="74"/>
      <c r="C25" s="25" t="str">
        <f>A$4</f>
        <v>Réalisé</v>
      </c>
      <c r="D25" s="26">
        <f>SUMIFS(Journal!$D$4:$D$9283,Journal!$B$4:$B$9283,D$5,Journal!$C$4:$C$9283,$B24)</f>
        <v>0</v>
      </c>
      <c r="E25" s="26">
        <f>SUMIFS(Journal!$D$4:$D$9283,Journal!$B$4:$B$9283,E$5,Journal!$C$4:$C$9283,$B24)</f>
        <v>0</v>
      </c>
      <c r="F25" s="26">
        <f>SUMIFS(Journal!$D$4:$D$9283,Journal!$B$4:$B$9283,F$5,Journal!$C$4:$C$9283,$B24)</f>
        <v>0</v>
      </c>
      <c r="G25" s="26">
        <f>SUMIFS(Journal!$D$4:$D$9283,Journal!$B$4:$B$9283,G$5,Journal!$C$4:$C$9283,$B24)</f>
        <v>0</v>
      </c>
      <c r="H25" s="26">
        <f>SUMIFS(Journal!$D$4:$D$9283,Journal!$B$4:$B$9283,H$5,Journal!$C$4:$C$9283,$B24)</f>
        <v>0</v>
      </c>
      <c r="I25" s="26">
        <f>SUMIFS(Journal!$D$4:$D$9283,Journal!$B$4:$B$9283,I$5,Journal!$C$4:$C$9283,$B24)</f>
        <v>0</v>
      </c>
      <c r="J25" s="26">
        <f>SUMIFS(Journal!$D$4:$D$9283,Journal!$B$4:$B$9283,J$5,Journal!$C$4:$C$9283,$B24)</f>
        <v>0</v>
      </c>
      <c r="K25" s="26">
        <f>SUMIFS(Journal!$D$4:$D$9283,Journal!$B$4:$B$9283,K$5,Journal!$C$4:$C$9283,$B24)</f>
        <v>0</v>
      </c>
      <c r="L25" s="26">
        <f>SUMIFS(Journal!$D$4:$D$9283,Journal!$B$4:$B$9283,L$5,Journal!$C$4:$C$9283,$B24)</f>
        <v>0</v>
      </c>
      <c r="M25" s="26">
        <f>SUMIFS(Journal!$D$4:$D$9283,Journal!$B$4:$B$9283,M$5,Journal!$C$4:$C$9283,$B24)</f>
        <v>0</v>
      </c>
      <c r="N25" s="26">
        <f>SUMIFS(Journal!$D$4:$D$9283,Journal!$B$4:$B$9283,N$5,Journal!$C$4:$C$9283,$B24)</f>
        <v>0</v>
      </c>
      <c r="O25" s="26">
        <f>SUMIFS(Journal!$D$4:$D$9283,Journal!$B$4:$B$9283,O$5,Journal!$C$4:$C$9283,$B24)</f>
        <v>0</v>
      </c>
      <c r="P25" s="26">
        <f>SUMIFS(Journal!$D$4:$D$9283,Journal!$B$4:$B$9283,P$5,Journal!$C$4:$C$9283,$B24)</f>
        <v>0</v>
      </c>
      <c r="Q25" s="26">
        <f>SUMIFS(Journal!$D$4:$D$9283,Journal!$B$4:$B$9283,Q$5,Journal!$C$4:$C$9283,$B24)</f>
        <v>0</v>
      </c>
      <c r="R25" s="26">
        <f>SUMIFS(Journal!$D$4:$D$9283,Journal!$B$4:$B$9283,R$5,Journal!$C$4:$C$9283,$B24)</f>
        <v>0</v>
      </c>
      <c r="S25" s="26">
        <f>SUMIFS(Journal!$D$4:$D$9283,Journal!$B$4:$B$9283,S$5,Journal!$C$4:$C$9283,$B24)</f>
        <v>0</v>
      </c>
      <c r="T25" s="26">
        <f>SUMIFS(Journal!$D$4:$D$9283,Journal!$B$4:$B$9283,T$5,Journal!$C$4:$C$9283,$B24)</f>
        <v>0</v>
      </c>
      <c r="U25" s="22"/>
    </row>
    <row r="26" spans="1:21" ht="15" customHeight="1" x14ac:dyDescent="0.25">
      <c r="A26" s="43"/>
      <c r="B26" s="99" t="str">
        <f>Base!G11</f>
        <v>23 Diagrammes de flux</v>
      </c>
      <c r="C26" s="23" t="str">
        <f>A$3</f>
        <v>Prévu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21"/>
    </row>
    <row r="27" spans="1:21" ht="15" customHeight="1" thickBot="1" x14ac:dyDescent="0.3">
      <c r="A27" s="43"/>
      <c r="B27" s="74"/>
      <c r="C27" s="25" t="str">
        <f>A$4</f>
        <v>Réalisé</v>
      </c>
      <c r="D27" s="26">
        <f>SUMIFS(Journal!$D$4:$D$9283,Journal!$B$4:$B$9283,D$5,Journal!$C$4:$C$9283,$B26)</f>
        <v>0</v>
      </c>
      <c r="E27" s="26">
        <f>SUMIFS(Journal!$D$4:$D$9283,Journal!$B$4:$B$9283,E$5,Journal!$C$4:$C$9283,$B26)</f>
        <v>0</v>
      </c>
      <c r="F27" s="26">
        <f>SUMIFS(Journal!$D$4:$D$9283,Journal!$B$4:$B$9283,F$5,Journal!$C$4:$C$9283,$B26)</f>
        <v>0</v>
      </c>
      <c r="G27" s="26">
        <f>SUMIFS(Journal!$D$4:$D$9283,Journal!$B$4:$B$9283,G$5,Journal!$C$4:$C$9283,$B26)</f>
        <v>0</v>
      </c>
      <c r="H27" s="26">
        <f>SUMIFS(Journal!$D$4:$D$9283,Journal!$B$4:$B$9283,H$5,Journal!$C$4:$C$9283,$B26)</f>
        <v>0</v>
      </c>
      <c r="I27" s="26">
        <f>SUMIFS(Journal!$D$4:$D$9283,Journal!$B$4:$B$9283,I$5,Journal!$C$4:$C$9283,$B26)</f>
        <v>0</v>
      </c>
      <c r="J27" s="26">
        <f>SUMIFS(Journal!$D$4:$D$9283,Journal!$B$4:$B$9283,J$5,Journal!$C$4:$C$9283,$B26)</f>
        <v>0</v>
      </c>
      <c r="K27" s="26">
        <f>SUMIFS(Journal!$D$4:$D$9283,Journal!$B$4:$B$9283,K$5,Journal!$C$4:$C$9283,$B26)</f>
        <v>0</v>
      </c>
      <c r="L27" s="26">
        <f>SUMIFS(Journal!$D$4:$D$9283,Journal!$B$4:$B$9283,L$5,Journal!$C$4:$C$9283,$B26)</f>
        <v>0</v>
      </c>
      <c r="M27" s="26">
        <f>SUMIFS(Journal!$D$4:$D$9283,Journal!$B$4:$B$9283,M$5,Journal!$C$4:$C$9283,$B26)</f>
        <v>0</v>
      </c>
      <c r="N27" s="26">
        <f>SUMIFS(Journal!$D$4:$D$9283,Journal!$B$4:$B$9283,N$5,Journal!$C$4:$C$9283,$B26)</f>
        <v>0</v>
      </c>
      <c r="O27" s="26">
        <f>SUMIFS(Journal!$D$4:$D$9283,Journal!$B$4:$B$9283,O$5,Journal!$C$4:$C$9283,$B26)</f>
        <v>0</v>
      </c>
      <c r="P27" s="26">
        <f>SUMIFS(Journal!$D$4:$D$9283,Journal!$B$4:$B$9283,P$5,Journal!$C$4:$C$9283,$B26)</f>
        <v>0</v>
      </c>
      <c r="Q27" s="26">
        <f>SUMIFS(Journal!$D$4:$D$9283,Journal!$B$4:$B$9283,Q$5,Journal!$C$4:$C$9283,$B26)</f>
        <v>0</v>
      </c>
      <c r="R27" s="26">
        <f>SUMIFS(Journal!$D$4:$D$9283,Journal!$B$4:$B$9283,R$5,Journal!$C$4:$C$9283,$B26)</f>
        <v>0</v>
      </c>
      <c r="S27" s="26">
        <f>SUMIFS(Journal!$D$4:$D$9283,Journal!$B$4:$B$9283,S$5,Journal!$C$4:$C$9283,$B26)</f>
        <v>0</v>
      </c>
      <c r="T27" s="26">
        <f>SUMIFS(Journal!$D$4:$D$9283,Journal!$B$4:$B$9283,T$5,Journal!$C$4:$C$9283,$B26)</f>
        <v>0</v>
      </c>
      <c r="U27" s="22"/>
    </row>
    <row r="28" spans="1:21" ht="15" customHeight="1" x14ac:dyDescent="0.25">
      <c r="A28" s="43"/>
      <c r="B28" s="99" t="str">
        <f>Base!G12</f>
        <v>24 -</v>
      </c>
      <c r="C28" s="23" t="str">
        <f>A$3</f>
        <v>Prévu</v>
      </c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21"/>
    </row>
    <row r="29" spans="1:21" ht="15" customHeight="1" thickBot="1" x14ac:dyDescent="0.3">
      <c r="A29" s="43"/>
      <c r="B29" s="74"/>
      <c r="C29" s="25" t="str">
        <f>A$4</f>
        <v>Réalisé</v>
      </c>
      <c r="D29" s="26">
        <f>SUMIFS(Journal!$D$4:$D$9283,Journal!$B$4:$B$9283,D$5,Journal!$C$4:$C$9283,$B28)</f>
        <v>0</v>
      </c>
      <c r="E29" s="26">
        <f>SUMIFS(Journal!$D$4:$D$9283,Journal!$B$4:$B$9283,E$5,Journal!$C$4:$C$9283,$B28)</f>
        <v>0</v>
      </c>
      <c r="F29" s="26">
        <f>SUMIFS(Journal!$D$4:$D$9283,Journal!$B$4:$B$9283,F$5,Journal!$C$4:$C$9283,$B28)</f>
        <v>0</v>
      </c>
      <c r="G29" s="26">
        <f>SUMIFS(Journal!$D$4:$D$9283,Journal!$B$4:$B$9283,G$5,Journal!$C$4:$C$9283,$B28)</f>
        <v>0</v>
      </c>
      <c r="H29" s="26">
        <f>SUMIFS(Journal!$D$4:$D$9283,Journal!$B$4:$B$9283,H$5,Journal!$C$4:$C$9283,$B28)</f>
        <v>0</v>
      </c>
      <c r="I29" s="26">
        <f>SUMIFS(Journal!$D$4:$D$9283,Journal!$B$4:$B$9283,I$5,Journal!$C$4:$C$9283,$B28)</f>
        <v>0</v>
      </c>
      <c r="J29" s="26">
        <f>SUMIFS(Journal!$D$4:$D$9283,Journal!$B$4:$B$9283,J$5,Journal!$C$4:$C$9283,$B28)</f>
        <v>0</v>
      </c>
      <c r="K29" s="26">
        <f>SUMIFS(Journal!$D$4:$D$9283,Journal!$B$4:$B$9283,K$5,Journal!$C$4:$C$9283,$B28)</f>
        <v>0</v>
      </c>
      <c r="L29" s="26">
        <f>SUMIFS(Journal!$D$4:$D$9283,Journal!$B$4:$B$9283,L$5,Journal!$C$4:$C$9283,$B28)</f>
        <v>0</v>
      </c>
      <c r="M29" s="26">
        <f>SUMIFS(Journal!$D$4:$D$9283,Journal!$B$4:$B$9283,M$5,Journal!$C$4:$C$9283,$B28)</f>
        <v>0</v>
      </c>
      <c r="N29" s="26">
        <f>SUMIFS(Journal!$D$4:$D$9283,Journal!$B$4:$B$9283,N$5,Journal!$C$4:$C$9283,$B28)</f>
        <v>0</v>
      </c>
      <c r="O29" s="26">
        <f>SUMIFS(Journal!$D$4:$D$9283,Journal!$B$4:$B$9283,O$5,Journal!$C$4:$C$9283,$B28)</f>
        <v>0</v>
      </c>
      <c r="P29" s="26">
        <f>SUMIFS(Journal!$D$4:$D$9283,Journal!$B$4:$B$9283,P$5,Journal!$C$4:$C$9283,$B28)</f>
        <v>0</v>
      </c>
      <c r="Q29" s="26">
        <f>SUMIFS(Journal!$D$4:$D$9283,Journal!$B$4:$B$9283,Q$5,Journal!$C$4:$C$9283,$B28)</f>
        <v>0</v>
      </c>
      <c r="R29" s="26">
        <f>SUMIFS(Journal!$D$4:$D$9283,Journal!$B$4:$B$9283,R$5,Journal!$C$4:$C$9283,$B28)</f>
        <v>0</v>
      </c>
      <c r="S29" s="26">
        <f>SUMIFS(Journal!$D$4:$D$9283,Journal!$B$4:$B$9283,S$5,Journal!$C$4:$C$9283,$B28)</f>
        <v>0</v>
      </c>
      <c r="T29" s="26">
        <f>SUMIFS(Journal!$D$4:$D$9283,Journal!$B$4:$B$9283,T$5,Journal!$C$4:$C$9283,$B28)</f>
        <v>0</v>
      </c>
      <c r="U29" s="22"/>
    </row>
    <row r="30" spans="1:21" ht="15" customHeight="1" x14ac:dyDescent="0.25">
      <c r="A30" s="43"/>
      <c r="B30" s="99" t="str">
        <f>Base!G13</f>
        <v>25 -</v>
      </c>
      <c r="C30" s="23" t="str">
        <f>A$3</f>
        <v>Prévu</v>
      </c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21"/>
    </row>
    <row r="31" spans="1:21" ht="15" customHeight="1" thickBot="1" x14ac:dyDescent="0.3">
      <c r="A31" s="43"/>
      <c r="B31" s="74"/>
      <c r="C31" s="25" t="str">
        <f>A$4</f>
        <v>Réalisé</v>
      </c>
      <c r="D31" s="26">
        <f>SUMIFS(Journal!$D$4:$D$9283,Journal!$B$4:$B$9283,D$5,Journal!$C$4:$C$9283,$B30)</f>
        <v>0</v>
      </c>
      <c r="E31" s="26">
        <f>SUMIFS(Journal!$D$4:$D$9283,Journal!$B$4:$B$9283,E$5,Journal!$C$4:$C$9283,$B30)</f>
        <v>0</v>
      </c>
      <c r="F31" s="26">
        <f>SUMIFS(Journal!$D$4:$D$9283,Journal!$B$4:$B$9283,F$5,Journal!$C$4:$C$9283,$B30)</f>
        <v>0</v>
      </c>
      <c r="G31" s="26">
        <f>SUMIFS(Journal!$D$4:$D$9283,Journal!$B$4:$B$9283,G$5,Journal!$C$4:$C$9283,$B30)</f>
        <v>0</v>
      </c>
      <c r="H31" s="26">
        <f>SUMIFS(Journal!$D$4:$D$9283,Journal!$B$4:$B$9283,H$5,Journal!$C$4:$C$9283,$B30)</f>
        <v>0</v>
      </c>
      <c r="I31" s="26">
        <f>SUMIFS(Journal!$D$4:$D$9283,Journal!$B$4:$B$9283,I$5,Journal!$C$4:$C$9283,$B30)</f>
        <v>0</v>
      </c>
      <c r="J31" s="26">
        <f>SUMIFS(Journal!$D$4:$D$9283,Journal!$B$4:$B$9283,J$5,Journal!$C$4:$C$9283,$B30)</f>
        <v>0</v>
      </c>
      <c r="K31" s="26">
        <f>SUMIFS(Journal!$D$4:$D$9283,Journal!$B$4:$B$9283,K$5,Journal!$C$4:$C$9283,$B30)</f>
        <v>0</v>
      </c>
      <c r="L31" s="26">
        <f>SUMIFS(Journal!$D$4:$D$9283,Journal!$B$4:$B$9283,L$5,Journal!$C$4:$C$9283,$B30)</f>
        <v>0</v>
      </c>
      <c r="M31" s="26">
        <f>SUMIFS(Journal!$D$4:$D$9283,Journal!$B$4:$B$9283,M$5,Journal!$C$4:$C$9283,$B30)</f>
        <v>0</v>
      </c>
      <c r="N31" s="26">
        <f>SUMIFS(Journal!$D$4:$D$9283,Journal!$B$4:$B$9283,N$5,Journal!$C$4:$C$9283,$B30)</f>
        <v>0</v>
      </c>
      <c r="O31" s="26">
        <f>SUMIFS(Journal!$D$4:$D$9283,Journal!$B$4:$B$9283,O$5,Journal!$C$4:$C$9283,$B30)</f>
        <v>0</v>
      </c>
      <c r="P31" s="26">
        <f>SUMIFS(Journal!$D$4:$D$9283,Journal!$B$4:$B$9283,P$5,Journal!$C$4:$C$9283,$B30)</f>
        <v>0</v>
      </c>
      <c r="Q31" s="26">
        <f>SUMIFS(Journal!$D$4:$D$9283,Journal!$B$4:$B$9283,Q$5,Journal!$C$4:$C$9283,$B30)</f>
        <v>0</v>
      </c>
      <c r="R31" s="26">
        <f>SUMIFS(Journal!$D$4:$D$9283,Journal!$B$4:$B$9283,R$5,Journal!$C$4:$C$9283,$B30)</f>
        <v>0</v>
      </c>
      <c r="S31" s="26">
        <f>SUMIFS(Journal!$D$4:$D$9283,Journal!$B$4:$B$9283,S$5,Journal!$C$4:$C$9283,$B30)</f>
        <v>0</v>
      </c>
      <c r="T31" s="26">
        <f>SUMIFS(Journal!$D$4:$D$9283,Journal!$B$4:$B$9283,T$5,Journal!$C$4:$C$9283,$B30)</f>
        <v>0</v>
      </c>
      <c r="U31" s="22"/>
    </row>
    <row r="32" spans="1:21" ht="15" customHeight="1" x14ac:dyDescent="0.25">
      <c r="A32" s="43"/>
      <c r="B32" s="99" t="str">
        <f>Base!G14</f>
        <v>26 -</v>
      </c>
      <c r="C32" s="23" t="str">
        <f>A$3</f>
        <v>Prévu</v>
      </c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21"/>
    </row>
    <row r="33" spans="1:21" ht="15" customHeight="1" thickBot="1" x14ac:dyDescent="0.3">
      <c r="A33" s="43"/>
      <c r="B33" s="100"/>
      <c r="C33" s="25" t="str">
        <f>A$4</f>
        <v>Réalisé</v>
      </c>
      <c r="D33" s="26">
        <f>SUMIFS(Journal!$D$4:$D$9283,Journal!$B$4:$B$9283,D$5,Journal!$C$4:$C$9283,$B32)</f>
        <v>0</v>
      </c>
      <c r="E33" s="26">
        <f>SUMIFS(Journal!$D$4:$D$9283,Journal!$B$4:$B$9283,E$5,Journal!$C$4:$C$9283,$B32)</f>
        <v>0</v>
      </c>
      <c r="F33" s="26">
        <f>SUMIFS(Journal!$D$4:$D$9283,Journal!$B$4:$B$9283,F$5,Journal!$C$4:$C$9283,$B32)</f>
        <v>0</v>
      </c>
      <c r="G33" s="26">
        <f>SUMIFS(Journal!$D$4:$D$9283,Journal!$B$4:$B$9283,G$5,Journal!$C$4:$C$9283,$B32)</f>
        <v>0</v>
      </c>
      <c r="H33" s="26">
        <f>SUMIFS(Journal!$D$4:$D$9283,Journal!$B$4:$B$9283,H$5,Journal!$C$4:$C$9283,$B32)</f>
        <v>0</v>
      </c>
      <c r="I33" s="26">
        <f>SUMIFS(Journal!$D$4:$D$9283,Journal!$B$4:$B$9283,I$5,Journal!$C$4:$C$9283,$B32)</f>
        <v>0</v>
      </c>
      <c r="J33" s="26">
        <f>SUMIFS(Journal!$D$4:$D$9283,Journal!$B$4:$B$9283,J$5,Journal!$C$4:$C$9283,$B32)</f>
        <v>0</v>
      </c>
      <c r="K33" s="26">
        <f>SUMIFS(Journal!$D$4:$D$9283,Journal!$B$4:$B$9283,K$5,Journal!$C$4:$C$9283,$B32)</f>
        <v>0</v>
      </c>
      <c r="L33" s="26">
        <f>SUMIFS(Journal!$D$4:$D$9283,Journal!$B$4:$B$9283,L$5,Journal!$C$4:$C$9283,$B32)</f>
        <v>0</v>
      </c>
      <c r="M33" s="26">
        <f>SUMIFS(Journal!$D$4:$D$9283,Journal!$B$4:$B$9283,M$5,Journal!$C$4:$C$9283,$B32)</f>
        <v>0</v>
      </c>
      <c r="N33" s="26">
        <f>SUMIFS(Journal!$D$4:$D$9283,Journal!$B$4:$B$9283,N$5,Journal!$C$4:$C$9283,$B32)</f>
        <v>0</v>
      </c>
      <c r="O33" s="26">
        <f>SUMIFS(Journal!$D$4:$D$9283,Journal!$B$4:$B$9283,O$5,Journal!$C$4:$C$9283,$B32)</f>
        <v>0</v>
      </c>
      <c r="P33" s="26">
        <f>SUMIFS(Journal!$D$4:$D$9283,Journal!$B$4:$B$9283,P$5,Journal!$C$4:$C$9283,$B32)</f>
        <v>0</v>
      </c>
      <c r="Q33" s="26">
        <f>SUMIFS(Journal!$D$4:$D$9283,Journal!$B$4:$B$9283,Q$5,Journal!$C$4:$C$9283,$B32)</f>
        <v>0</v>
      </c>
      <c r="R33" s="26">
        <f>SUMIFS(Journal!$D$4:$D$9283,Journal!$B$4:$B$9283,R$5,Journal!$C$4:$C$9283,$B32)</f>
        <v>0</v>
      </c>
      <c r="S33" s="26">
        <f>SUMIFS(Journal!$D$4:$D$9283,Journal!$B$4:$B$9283,S$5,Journal!$C$4:$C$9283,$B32)</f>
        <v>0</v>
      </c>
      <c r="T33" s="26">
        <f>SUMIFS(Journal!$D$4:$D$9283,Journal!$B$4:$B$9283,T$5,Journal!$C$4:$C$9283,$B32)</f>
        <v>0</v>
      </c>
      <c r="U33" s="22"/>
    </row>
    <row r="34" spans="1:21" ht="20.25" customHeight="1" x14ac:dyDescent="0.25">
      <c r="A34" s="83" t="str">
        <f>Base!F15</f>
        <v>3 Implémentation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21">
        <f>SUMIF($C36:$C47,$C36,U36:U47)</f>
        <v>0</v>
      </c>
    </row>
    <row r="35" spans="1:21" ht="15" customHeight="1" thickBot="1" x14ac:dyDescent="0.3">
      <c r="A35" s="85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22">
        <f>SUMIF($C36:$C47,$C37,U36:U47)</f>
        <v>0</v>
      </c>
    </row>
    <row r="36" spans="1:21" ht="15" customHeight="1" x14ac:dyDescent="0.25">
      <c r="A36" s="43"/>
      <c r="B36" s="52" t="str">
        <f>Base!G15</f>
        <v>31 Script création base de données</v>
      </c>
      <c r="C36" s="23" t="str">
        <f>A$3</f>
        <v>Prévu</v>
      </c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24" t="str">
        <f>IF(SUM(E36:T36)=0,"",SUM(E36:T36))</f>
        <v/>
      </c>
    </row>
    <row r="37" spans="1:21" ht="15" customHeight="1" thickBot="1" x14ac:dyDescent="0.3">
      <c r="A37" s="43"/>
      <c r="B37" s="32"/>
      <c r="C37" s="25" t="str">
        <f>A$4</f>
        <v>Réalisé</v>
      </c>
      <c r="D37" s="26">
        <f>SUMIFS(Journal!$D$4:$D$9283,Journal!$B$4:$B$9283,D$5,Journal!$C$4:$C$9283,$B36)</f>
        <v>0</v>
      </c>
      <c r="E37" s="26"/>
      <c r="F37" s="26">
        <f>SUMIFS(Journal!$D$4:$D$9283,Journal!$B$4:$B$9283,F$5,Journal!$C$4:$C$9283,$B36)</f>
        <v>0</v>
      </c>
      <c r="G37" s="26"/>
      <c r="H37" s="26">
        <f>SUMIFS(Journal!$D$4:$D$9283,Journal!$B$4:$B$9283,H$5,Journal!$C$4:$C$9283,$B36)</f>
        <v>0</v>
      </c>
      <c r="I37" s="26"/>
      <c r="J37" s="26">
        <f>SUMIFS(Journal!$D$4:$D$9283,Journal!$B$4:$B$9283,J$5,Journal!$C$4:$C$9283,$B36)</f>
        <v>0</v>
      </c>
      <c r="K37" s="26"/>
      <c r="L37" s="26">
        <f>SUMIFS(Journal!$D$4:$D$9283,Journal!$B$4:$B$9283,L$5,Journal!$C$4:$C$9283,$B36)</f>
        <v>0</v>
      </c>
      <c r="M37" s="26"/>
      <c r="N37" s="26">
        <f>SUMIFS(Journal!$D$4:$D$9283,Journal!$B$4:$B$9283,N$5,Journal!$C$4:$C$9283,$B36)</f>
        <v>0</v>
      </c>
      <c r="O37" s="26"/>
      <c r="P37" s="26">
        <f>SUMIFS(Journal!$D$4:$D$9283,Journal!$B$4:$B$9283,P$5,Journal!$C$4:$C$9283,$B36)</f>
        <v>0</v>
      </c>
      <c r="Q37" s="26"/>
      <c r="R37" s="26">
        <f>SUMIFS(Journal!$D$4:$D$9283,Journal!$B$4:$B$9283,R$5,Journal!$C$4:$C$9283,$B36)</f>
        <v>0</v>
      </c>
      <c r="S37" s="26"/>
      <c r="T37" s="26">
        <f>SUMIFS(Journal!$D$4:$D$9283,Journal!$B$4:$B$9283,T$5,Journal!$C$4:$C$9283,$B36)</f>
        <v>0</v>
      </c>
      <c r="U37" s="29" t="str">
        <f>IF(SUM(D37:T37)=0,"",SUM(D37:T37))</f>
        <v/>
      </c>
    </row>
    <row r="38" spans="1:21" ht="15" customHeight="1" x14ac:dyDescent="0.25">
      <c r="A38" s="43"/>
      <c r="B38" s="52" t="str">
        <f>Base!G16</f>
        <v>32 Script insertion données</v>
      </c>
      <c r="C38" s="23" t="str">
        <f>A$3</f>
        <v>Prévu</v>
      </c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24" t="str">
        <f>IF(SUM(E38:T38)=0,"",SUM(E38:T38))</f>
        <v/>
      </c>
    </row>
    <row r="39" spans="1:21" ht="15" customHeight="1" thickBot="1" x14ac:dyDescent="0.3">
      <c r="A39" s="43"/>
      <c r="B39" s="32"/>
      <c r="C39" s="25" t="str">
        <f>A$4</f>
        <v>Réalisé</v>
      </c>
      <c r="D39" s="26">
        <f>SUMIFS(Journal!$D$4:$D$9283,Journal!$B$4:$B$9283,D$5,Journal!$C$4:$C$9283,$B38)</f>
        <v>0</v>
      </c>
      <c r="E39" s="26"/>
      <c r="F39" s="26">
        <f>SUMIFS(Journal!$D$4:$D$9283,Journal!$B$4:$B$9283,F$5,Journal!$C$4:$C$9283,$B38)</f>
        <v>0</v>
      </c>
      <c r="G39" s="26"/>
      <c r="H39" s="26">
        <f>SUMIFS(Journal!$D$4:$D$9283,Journal!$B$4:$B$9283,H$5,Journal!$C$4:$C$9283,$B38)</f>
        <v>0</v>
      </c>
      <c r="I39" s="26"/>
      <c r="J39" s="26">
        <f>SUMIFS(Journal!$D$4:$D$9283,Journal!$B$4:$B$9283,J$5,Journal!$C$4:$C$9283,$B38)</f>
        <v>0</v>
      </c>
      <c r="K39" s="26"/>
      <c r="L39" s="26"/>
      <c r="M39" s="26"/>
      <c r="N39" s="26">
        <f>SUMIFS(Journal!$D$4:$D$9283,Journal!$B$4:$B$9283,N$5,Journal!$C$4:$C$9283,$B38)</f>
        <v>0</v>
      </c>
      <c r="O39" s="26"/>
      <c r="P39" s="26">
        <f>SUMIFS(Journal!$D$4:$D$9283,Journal!$B$4:$B$9283,P$5,Journal!$C$4:$C$9283,$B38)</f>
        <v>0</v>
      </c>
      <c r="Q39" s="26"/>
      <c r="R39" s="26">
        <f>SUMIFS(Journal!$D$4:$D$9283,Journal!$B$4:$B$9283,R$5,Journal!$C$4:$C$9283,$B38)</f>
        <v>0</v>
      </c>
      <c r="S39" s="26"/>
      <c r="T39" s="26">
        <f>SUMIFS(Journal!$D$4:$D$9283,Journal!$B$4:$B$9283,T$5,Journal!$C$4:$C$9283,$B38)</f>
        <v>0</v>
      </c>
      <c r="U39" s="29" t="str">
        <f>IF(SUM(D39:T39)=0,"",SUM(D39:T39))</f>
        <v/>
      </c>
    </row>
    <row r="40" spans="1:21" ht="15" customHeight="1" x14ac:dyDescent="0.25">
      <c r="A40" s="43"/>
      <c r="B40" s="52" t="str">
        <f>Base!G17</f>
        <v>33  -</v>
      </c>
      <c r="C40" s="23" t="str">
        <f>A$3</f>
        <v>Prévu</v>
      </c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24" t="str">
        <f>IF(SUM(D40:T40)=0,"",SUM(D40:T40))</f>
        <v/>
      </c>
    </row>
    <row r="41" spans="1:21" ht="15" customHeight="1" thickBot="1" x14ac:dyDescent="0.3">
      <c r="A41" s="43"/>
      <c r="B41" s="32"/>
      <c r="C41" s="25" t="str">
        <f>A$4</f>
        <v>Réalisé</v>
      </c>
      <c r="D41" s="26">
        <f>SUMIFS(Journal!$D$4:$D$9283,Journal!$B$4:$B$9283,D$5,Journal!$C$4:$C$9283,$B40)</f>
        <v>0</v>
      </c>
      <c r="E41" s="26"/>
      <c r="F41" s="26">
        <f>SUMIFS(Journal!$D$4:$D$9283,Journal!$B$4:$B$9283,F$5,Journal!$C$4:$C$9283,$B40)</f>
        <v>0</v>
      </c>
      <c r="G41" s="26"/>
      <c r="H41" s="26">
        <f>SUMIFS(Journal!$D$4:$D$9283,Journal!$B$4:$B$9283,H$5,Journal!$C$4:$C$9283,$B40)</f>
        <v>0</v>
      </c>
      <c r="I41" s="26"/>
      <c r="J41" s="26">
        <f>SUMIFS(Journal!$D$4:$D$9283,Journal!$B$4:$B$9283,J$5,Journal!$C$4:$C$9283,$B40)</f>
        <v>0</v>
      </c>
      <c r="K41" s="26"/>
      <c r="L41" s="26"/>
      <c r="M41" s="26"/>
      <c r="N41" s="26"/>
      <c r="O41" s="26"/>
      <c r="P41" s="26">
        <f>SUMIFS(Journal!$D$4:$D$9283,Journal!$B$4:$B$9283,P$5,Journal!$C$4:$C$9283,$B40)</f>
        <v>0</v>
      </c>
      <c r="Q41" s="26"/>
      <c r="R41" s="26">
        <f>SUMIFS(Journal!$D$4:$D$9283,Journal!$B$4:$B$9283,R$5,Journal!$C$4:$C$9283,$B40)</f>
        <v>0</v>
      </c>
      <c r="S41" s="26"/>
      <c r="T41" s="26">
        <f>SUMIFS(Journal!$D$4:$D$9283,Journal!$B$4:$B$9283,T$5,Journal!$C$4:$C$9283,$B40)</f>
        <v>0</v>
      </c>
      <c r="U41" s="29" t="str">
        <f>IF(SUM(D41:T41)=0,"",SUM(D41:T41))</f>
        <v/>
      </c>
    </row>
    <row r="42" spans="1:21" ht="15" customHeight="1" x14ac:dyDescent="0.25">
      <c r="A42" s="43"/>
      <c r="B42" s="52" t="str">
        <f>Base!G18</f>
        <v>34 -</v>
      </c>
      <c r="C42" s="23" t="str">
        <f>A$3</f>
        <v>Prévu</v>
      </c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24" t="str">
        <f>IF(SUM(D42:T42)=0,"",SUM(D42:T42))</f>
        <v/>
      </c>
    </row>
    <row r="43" spans="1:21" ht="15" customHeight="1" thickBot="1" x14ac:dyDescent="0.3">
      <c r="A43" s="43"/>
      <c r="B43" s="32"/>
      <c r="C43" s="25" t="str">
        <f>A$4</f>
        <v>Réalisé</v>
      </c>
      <c r="D43" s="26">
        <f>SUMIFS(Journal!$D$4:$D$9283,Journal!$B$4:$B$9283,D$5,Journal!$C$4:$C$9283,$B42)</f>
        <v>0</v>
      </c>
      <c r="E43" s="26"/>
      <c r="F43" s="26">
        <f>SUMIFS(Journal!$D$4:$D$9283,Journal!$B$4:$B$9283,F$5,Journal!$C$4:$C$9283,$B42)</f>
        <v>0</v>
      </c>
      <c r="G43" s="26"/>
      <c r="H43" s="26">
        <f>SUMIFS(Journal!$D$4:$D$9283,Journal!$B$4:$B$9283,H$5,Journal!$C$4:$C$9283,$B42)</f>
        <v>0</v>
      </c>
      <c r="I43" s="26"/>
      <c r="J43" s="26">
        <f>SUMIFS(Journal!$D$4:$D$9283,Journal!$B$4:$B$9283,J$5,Journal!$C$4:$C$9283,$B42)</f>
        <v>0</v>
      </c>
      <c r="K43" s="26"/>
      <c r="L43" s="26">
        <f>SUMIFS(Journal!$D$4:$D$9283,Journal!$B$4:$B$9283,L$5,Journal!$C$4:$C$9283,$B42)</f>
        <v>0</v>
      </c>
      <c r="M43" s="26"/>
      <c r="N43" s="26">
        <f>SUMIFS(Journal!$D$4:$D$9283,Journal!$B$4:$B$9283,N$5,Journal!$C$4:$C$9283,$B42)</f>
        <v>0</v>
      </c>
      <c r="O43" s="26"/>
      <c r="P43" s="26">
        <f>SUMIFS(Journal!$D$4:$D$9283,Journal!$B$4:$B$9283,P$5,Journal!$C$4:$C$9283,$B42)</f>
        <v>0</v>
      </c>
      <c r="Q43" s="26"/>
      <c r="R43" s="26">
        <f>SUMIFS(Journal!$D$4:$D$9283,Journal!$B$4:$B$9283,R$5,Journal!$C$4:$C$9283,$B42)</f>
        <v>0</v>
      </c>
      <c r="S43" s="26"/>
      <c r="T43" s="26">
        <f>SUMIFS(Journal!$D$4:$D$9283,Journal!$B$4:$B$9283,T$5,Journal!$C$4:$C$9283,$B42)</f>
        <v>0</v>
      </c>
      <c r="U43" s="29" t="str">
        <f>IF(SUM(D43:T43)=0,"",SUM(D43:T43))</f>
        <v/>
      </c>
    </row>
    <row r="44" spans="1:21" ht="15" customHeight="1" x14ac:dyDescent="0.25">
      <c r="A44" s="43"/>
      <c r="B44" s="52" t="str">
        <f>Base!G19</f>
        <v>35 -</v>
      </c>
      <c r="C44" s="23" t="str">
        <f>A$3</f>
        <v>Prévu</v>
      </c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24" t="str">
        <f>IF(SUM(D44:T44)=0,"",SUM(D44:T44))</f>
        <v/>
      </c>
    </row>
    <row r="45" spans="1:21" ht="15" customHeight="1" thickBot="1" x14ac:dyDescent="0.3">
      <c r="A45" s="43"/>
      <c r="B45" s="32"/>
      <c r="C45" s="25" t="str">
        <f>A$4</f>
        <v>Réalisé</v>
      </c>
      <c r="D45" s="26">
        <f>SUMIFS(Journal!$D$4:$D$9283,Journal!$B$4:$B$9283,D$5,Journal!$C$4:$C$9283,$B44)</f>
        <v>0</v>
      </c>
      <c r="E45" s="26"/>
      <c r="F45" s="26">
        <f>SUMIFS(Journal!$D$4:$D$9283,Journal!$B$4:$B$9283,F$5,Journal!$C$4:$C$9283,$B44)</f>
        <v>0</v>
      </c>
      <c r="G45" s="26"/>
      <c r="H45" s="26">
        <f>SUMIFS(Journal!$D$4:$D$9283,Journal!$B$4:$B$9283,H$5,Journal!$C$4:$C$9283,$B44)</f>
        <v>0</v>
      </c>
      <c r="I45" s="26"/>
      <c r="J45" s="26">
        <f>SUMIFS(Journal!$D$4:$D$9283,Journal!$B$4:$B$9283,J$5,Journal!$C$4:$C$9283,$B44)</f>
        <v>0</v>
      </c>
      <c r="K45" s="26"/>
      <c r="L45" s="26">
        <f>SUMIFS(Journal!$D$4:$D$9283,Journal!$B$4:$B$9283,L$5,Journal!$C$4:$C$9283,$B44)</f>
        <v>0</v>
      </c>
      <c r="M45" s="26"/>
      <c r="N45" s="26">
        <f>SUMIFS(Journal!$D$4:$D$9283,Journal!$B$4:$B$9283,N$5,Journal!$C$4:$C$9283,$B44)</f>
        <v>0</v>
      </c>
      <c r="O45" s="26"/>
      <c r="P45" s="26">
        <f>SUMIFS(Journal!$D$4:$D$9283,Journal!$B$4:$B$9283,P$5,Journal!$C$4:$C$9283,$B44)</f>
        <v>0</v>
      </c>
      <c r="Q45" s="26"/>
      <c r="R45" s="26">
        <f>SUMIFS(Journal!$D$4:$D$9283,Journal!$B$4:$B$9283,R$5,Journal!$C$4:$C$9283,$B44)</f>
        <v>0</v>
      </c>
      <c r="S45" s="26"/>
      <c r="T45" s="26">
        <f>SUMIFS(Journal!$D$4:$D$9283,Journal!$B$4:$B$9283,T$5,Journal!$C$4:$C$9283,$B44)</f>
        <v>0</v>
      </c>
      <c r="U45" s="29" t="str">
        <f>IF(SUM(D45:T45)=0,"",SUM(D45:T45))</f>
        <v/>
      </c>
    </row>
    <row r="46" spans="1:21" ht="15" customHeight="1" x14ac:dyDescent="0.25">
      <c r="A46" s="43"/>
      <c r="B46" s="52" t="str">
        <f>Base!G20</f>
        <v>36 -</v>
      </c>
      <c r="C46" s="23" t="str">
        <f>A$3</f>
        <v>Prévu</v>
      </c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24" t="str">
        <f>IF(SUM(D46:T46)=0,"",SUM(D46:T46))</f>
        <v/>
      </c>
    </row>
    <row r="47" spans="1:21" ht="15" customHeight="1" thickBot="1" x14ac:dyDescent="0.3">
      <c r="A47" s="43"/>
      <c r="B47" s="32"/>
      <c r="C47" s="25" t="str">
        <f>A$4</f>
        <v>Réalisé</v>
      </c>
      <c r="D47" s="26">
        <f>SUMIFS(Journal!$D$4:$D$9283,Journal!$B$4:$B$9283,D$5,Journal!$C$4:$C$9283,$B46)</f>
        <v>0</v>
      </c>
      <c r="E47" s="26"/>
      <c r="F47" s="26">
        <f>SUMIFS(Journal!$D$4:$D$9283,Journal!$B$4:$B$9283,F$5,Journal!$C$4:$C$9283,$B46)</f>
        <v>0</v>
      </c>
      <c r="G47" s="26"/>
      <c r="H47" s="26">
        <f>SUMIFS(Journal!$D$4:$D$9283,Journal!$B$4:$B$9283,H$5,Journal!$C$4:$C$9283,$B46)</f>
        <v>0</v>
      </c>
      <c r="I47" s="26"/>
      <c r="J47" s="26">
        <f>SUMIFS(Journal!$D$4:$D$9283,Journal!$B$4:$B$9283,J$5,Journal!$C$4:$C$9283,$B46)</f>
        <v>0</v>
      </c>
      <c r="K47" s="26"/>
      <c r="L47" s="26">
        <f>SUMIFS(Journal!$D$4:$D$9283,Journal!$B$4:$B$9283,L$5,Journal!$C$4:$C$9283,$B46)</f>
        <v>0</v>
      </c>
      <c r="M47" s="26"/>
      <c r="N47" s="26">
        <f>SUMIFS(Journal!$D$4:$D$9283,Journal!$B$4:$B$9283,N$5,Journal!$C$4:$C$9283,$B46)</f>
        <v>0</v>
      </c>
      <c r="O47" s="26"/>
      <c r="P47" s="26">
        <f>SUMIFS(Journal!$D$4:$D$9283,Journal!$B$4:$B$9283,P$5,Journal!$C$4:$C$9283,$B46)</f>
        <v>0</v>
      </c>
      <c r="Q47" s="26"/>
      <c r="R47" s="26">
        <f>SUMIFS(Journal!$D$4:$D$9283,Journal!$B$4:$B$9283,R$5,Journal!$C$4:$C$9283,$B46)</f>
        <v>0</v>
      </c>
      <c r="S47" s="26"/>
      <c r="T47" s="26">
        <f>SUMIFS(Journal!$D$4:$D$9283,Journal!$B$4:$B$9283,T$5,Journal!$C$4:$C$9283,$B46)</f>
        <v>0</v>
      </c>
      <c r="U47" s="29" t="str">
        <f>IF(SUM(D47:T47)=0,"",SUM(D47:T47))</f>
        <v/>
      </c>
    </row>
    <row r="48" spans="1:21" ht="20.25" customHeight="1" x14ac:dyDescent="0.25">
      <c r="A48" s="87" t="str">
        <f>Base!F21</f>
        <v>4 Tests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21">
        <f>SUMIF($C50:$C61,$C50,U50:U61)</f>
        <v>0</v>
      </c>
    </row>
    <row r="49" spans="1:21" ht="15" customHeight="1" thickBot="1" x14ac:dyDescent="0.3">
      <c r="A49" s="89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22">
        <f>SUMIF($C50:$C61,$C51,U50:U61)</f>
        <v>0</v>
      </c>
    </row>
    <row r="50" spans="1:21" s="31" customFormat="1" ht="15" customHeight="1" x14ac:dyDescent="0.25">
      <c r="A50" s="44"/>
      <c r="B50" s="52" t="str">
        <f>Base!G15</f>
        <v>31 Script création base de données</v>
      </c>
      <c r="C50" s="23" t="str">
        <f>A$3</f>
        <v>Prévu</v>
      </c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24" t="str">
        <f>IF(SUM(D50:T50)=0,"",SUM(D50:T50))</f>
        <v/>
      </c>
    </row>
    <row r="51" spans="1:21" s="31" customFormat="1" ht="15" customHeight="1" thickBot="1" x14ac:dyDescent="0.3">
      <c r="A51" s="44"/>
      <c r="B51" s="32"/>
      <c r="C51" s="25" t="str">
        <f>A$4</f>
        <v>Réalisé</v>
      </c>
      <c r="D51" s="26">
        <f>SUMIFS(Journal!$D$4:$D$9283,Journal!$B$4:$B$9283,D$5,Journal!$C$4:$C$9283,$B50)</f>
        <v>0</v>
      </c>
      <c r="E51" s="26"/>
      <c r="F51" s="26">
        <f>SUMIFS(Journal!$D$4:$D$9283,Journal!$B$4:$B$9283,F$5,Journal!$C$4:$C$9283,$B50)</f>
        <v>0</v>
      </c>
      <c r="G51" s="26"/>
      <c r="H51" s="26">
        <f>SUMIFS(Journal!$D$4:$D$9283,Journal!$B$4:$B$9283,H$5,Journal!$C$4:$C$9283,$B50)</f>
        <v>0</v>
      </c>
      <c r="I51" s="26"/>
      <c r="J51" s="26">
        <f>SUMIFS(Journal!$D$4:$D$9283,Journal!$B$4:$B$9283,J$5,Journal!$C$4:$C$9283,$B50)</f>
        <v>0</v>
      </c>
      <c r="K51" s="26"/>
      <c r="L51" s="26">
        <f>SUMIFS(Journal!$D$4:$D$9283,Journal!$B$4:$B$9283,L$5,Journal!$C$4:$C$9283,$B50)</f>
        <v>0</v>
      </c>
      <c r="M51" s="26"/>
      <c r="N51" s="26">
        <f>SUMIFS(Journal!$D$4:$D$9283,Journal!$B$4:$B$9283,N$5,Journal!$C$4:$C$9283,$B50)</f>
        <v>0</v>
      </c>
      <c r="O51" s="26"/>
      <c r="P51" s="26">
        <f>SUMIFS(Journal!$D$4:$D$9283,Journal!$B$4:$B$9283,P$5,Journal!$C$4:$C$9283,$B50)</f>
        <v>0</v>
      </c>
      <c r="Q51" s="26"/>
      <c r="R51" s="26">
        <f>SUMIFS(Journal!$D$4:$D$9283,Journal!$B$4:$B$9283,R$5,Journal!$C$4:$C$9283,$B50)</f>
        <v>0</v>
      </c>
      <c r="S51" s="26"/>
      <c r="T51" s="26">
        <f>SUMIFS(Journal!$D$4:$D$9283,Journal!$B$4:$B$9283,T$5,Journal!$C$4:$C$9283,$B50)</f>
        <v>0</v>
      </c>
      <c r="U51" s="29" t="str">
        <f>IF(SUM(D51:T51)=0,"",SUM(D51:T51))</f>
        <v/>
      </c>
    </row>
    <row r="52" spans="1:21" ht="15" customHeight="1" x14ac:dyDescent="0.25">
      <c r="A52" s="43"/>
      <c r="B52" s="52" t="str">
        <f>Base!G16</f>
        <v>32 Script insertion données</v>
      </c>
      <c r="C52" s="23" t="str">
        <f>A$3</f>
        <v>Prévu</v>
      </c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24" t="str">
        <f>IF(SUM(D52:T52)=0,"",SUM(D52:T52))</f>
        <v/>
      </c>
    </row>
    <row r="53" spans="1:21" ht="15" customHeight="1" thickBot="1" x14ac:dyDescent="0.3">
      <c r="A53" s="43"/>
      <c r="B53" s="32"/>
      <c r="C53" s="25" t="str">
        <f>A$4</f>
        <v>Réalisé</v>
      </c>
      <c r="D53" s="26">
        <f>SUMIFS(Journal!$D$4:$D$9283,Journal!$B$4:$B$9283,D$5,Journal!$C$4:$C$9283,$B52)</f>
        <v>0</v>
      </c>
      <c r="E53" s="26"/>
      <c r="F53" s="26">
        <f>SUMIFS(Journal!$D$4:$D$9283,Journal!$B$4:$B$9283,F$5,Journal!$C$4:$C$9283,$B52)</f>
        <v>0</v>
      </c>
      <c r="G53" s="26"/>
      <c r="H53" s="26">
        <f>SUMIFS(Journal!$D$4:$D$9283,Journal!$B$4:$B$9283,H$5,Journal!$C$4:$C$9283,$B52)</f>
        <v>0</v>
      </c>
      <c r="I53" s="26"/>
      <c r="J53" s="26">
        <f>SUMIFS(Journal!$D$4:$D$9283,Journal!$B$4:$B$9283,J$5,Journal!$C$4:$C$9283,$B52)</f>
        <v>0</v>
      </c>
      <c r="K53" s="26"/>
      <c r="L53" s="26">
        <f>SUMIFS(Journal!$D$4:$D$9283,Journal!$B$4:$B$9283,L$5,Journal!$C$4:$C$9283,$B52)</f>
        <v>0</v>
      </c>
      <c r="M53" s="26"/>
      <c r="N53" s="26">
        <f>SUMIFS(Journal!$D$4:$D$9283,Journal!$B$4:$B$9283,N$5,Journal!$C$4:$C$9283,$B52)</f>
        <v>0</v>
      </c>
      <c r="O53" s="26"/>
      <c r="P53" s="26">
        <f>SUMIFS(Journal!$D$4:$D$9283,Journal!$B$4:$B$9283,P$5,Journal!$C$4:$C$9283,$B52)</f>
        <v>0</v>
      </c>
      <c r="Q53" s="26"/>
      <c r="R53" s="26">
        <f>SUMIFS(Journal!$D$4:$D$9283,Journal!$B$4:$B$9283,R$5,Journal!$C$4:$C$9283,$B52)</f>
        <v>0</v>
      </c>
      <c r="S53" s="26"/>
      <c r="T53" s="26"/>
      <c r="U53" s="29" t="str">
        <f>IF(SUM(D53:T53)=0,"",SUM(D53:T53))</f>
        <v/>
      </c>
    </row>
    <row r="54" spans="1:21" ht="15" customHeight="1" x14ac:dyDescent="0.25">
      <c r="A54" s="43"/>
      <c r="B54" s="52" t="str">
        <f>Base!G17</f>
        <v>33  -</v>
      </c>
      <c r="C54" s="23" t="str">
        <f>A$3</f>
        <v>Prévu</v>
      </c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24" t="str">
        <f>IF(SUM(D54:T54)=0,"",SUM(D54:T54))</f>
        <v/>
      </c>
    </row>
    <row r="55" spans="1:21" ht="15" customHeight="1" thickBot="1" x14ac:dyDescent="0.3">
      <c r="A55" s="43"/>
      <c r="B55" s="32"/>
      <c r="C55" s="25" t="str">
        <f>A$4</f>
        <v>Réalisé</v>
      </c>
      <c r="D55" s="26">
        <f>SUMIFS(Journal!$D$4:$D$9283,Journal!$B$4:$B$9283,D$5,Journal!$C$4:$C$9283,$B54)</f>
        <v>0</v>
      </c>
      <c r="E55" s="26"/>
      <c r="F55" s="26">
        <f>SUMIFS(Journal!$D$4:$D$9283,Journal!$B$4:$B$9283,F$5,Journal!$C$4:$C$9283,$B54)</f>
        <v>0</v>
      </c>
      <c r="G55" s="26"/>
      <c r="H55" s="26">
        <f>SUMIFS(Journal!$D$4:$D$9283,Journal!$B$4:$B$9283,H$5,Journal!$C$4:$C$9283,$B54)</f>
        <v>0</v>
      </c>
      <c r="I55" s="26"/>
      <c r="J55" s="26">
        <f>SUMIFS(Journal!$D$4:$D$9283,Journal!$B$4:$B$9283,J$5,Journal!$C$4:$C$9283,$B54)</f>
        <v>0</v>
      </c>
      <c r="K55" s="26"/>
      <c r="L55" s="26">
        <f>SUMIFS(Journal!$D$4:$D$9283,Journal!$B$4:$B$9283,L$5,Journal!$C$4:$C$9283,$B54)</f>
        <v>0</v>
      </c>
      <c r="M55" s="26"/>
      <c r="N55" s="26">
        <f>SUMIFS(Journal!$D$4:$D$9283,Journal!$B$4:$B$9283,N$5,Journal!$C$4:$C$9283,$B54)</f>
        <v>0</v>
      </c>
      <c r="O55" s="26"/>
      <c r="P55" s="26">
        <f>SUMIFS(Journal!$D$4:$D$9283,Journal!$B$4:$B$9283,P$5,Journal!$C$4:$C$9283,$B54)</f>
        <v>0</v>
      </c>
      <c r="Q55" s="26"/>
      <c r="R55" s="26">
        <f>SUMIFS(Journal!$D$4:$D$9283,Journal!$B$4:$B$9283,R$5,Journal!$C$4:$C$9283,$B54)</f>
        <v>0</v>
      </c>
      <c r="S55" s="26"/>
      <c r="T55" s="26">
        <f>SUMIFS(Journal!$D$4:$D$9283,Journal!$B$4:$B$9283,T$5,Journal!$C$4:$C$9283,$B54)</f>
        <v>0</v>
      </c>
      <c r="U55" s="29" t="str">
        <f>IF(SUM(D55:T55)=0,"",SUM(D55:T55))</f>
        <v/>
      </c>
    </row>
    <row r="56" spans="1:21" ht="15" customHeight="1" x14ac:dyDescent="0.25">
      <c r="A56" s="43"/>
      <c r="B56" s="52" t="str">
        <f>Base!G18</f>
        <v>34 -</v>
      </c>
      <c r="C56" s="23" t="str">
        <f>A$3</f>
        <v>Prévu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24" t="str">
        <f>IF(SUM(D56:T56)=0,"",SUM(D56:T56))</f>
        <v/>
      </c>
    </row>
    <row r="57" spans="1:21" ht="15" customHeight="1" thickBot="1" x14ac:dyDescent="0.3">
      <c r="A57" s="43"/>
      <c r="B57" s="32"/>
      <c r="C57" s="25" t="str">
        <f>A$4</f>
        <v>Réalisé</v>
      </c>
      <c r="D57" s="26">
        <f>SUMIFS(Journal!$D$4:$D$9283,Journal!$B$4:$B$9283,D$5,Journal!$C$4:$C$9283,$B56)</f>
        <v>0</v>
      </c>
      <c r="E57" s="26"/>
      <c r="F57" s="26">
        <f>SUMIFS(Journal!$D$4:$D$9283,Journal!$B$4:$B$9283,F$5,Journal!$C$4:$C$9283,$B56)</f>
        <v>0</v>
      </c>
      <c r="G57" s="26"/>
      <c r="H57" s="26">
        <f>SUMIFS(Journal!$D$4:$D$9283,Journal!$B$4:$B$9283,H$5,Journal!$C$4:$C$9283,$B56)</f>
        <v>0</v>
      </c>
      <c r="I57" s="26"/>
      <c r="J57" s="26">
        <f>SUMIFS(Journal!$D$4:$D$9283,Journal!$B$4:$B$9283,J$5,Journal!$C$4:$C$9283,$B56)</f>
        <v>0</v>
      </c>
      <c r="K57" s="26"/>
      <c r="L57" s="26">
        <f>SUMIFS(Journal!$D$4:$D$9283,Journal!$B$4:$B$9283,L$5,Journal!$C$4:$C$9283,$B56)</f>
        <v>0</v>
      </c>
      <c r="M57" s="26"/>
      <c r="N57" s="26">
        <f>SUMIFS(Journal!$D$4:$D$9283,Journal!$B$4:$B$9283,N$5,Journal!$C$4:$C$9283,$B56)</f>
        <v>0</v>
      </c>
      <c r="O57" s="26"/>
      <c r="P57" s="26">
        <f>SUMIFS(Journal!$D$4:$D$9283,Journal!$B$4:$B$9283,P$5,Journal!$C$4:$C$9283,$B56)</f>
        <v>0</v>
      </c>
      <c r="Q57" s="26"/>
      <c r="R57" s="26">
        <f>SUMIFS(Journal!$D$4:$D$9283,Journal!$B$4:$B$9283,R$5,Journal!$C$4:$C$9283,$B56)</f>
        <v>0</v>
      </c>
      <c r="S57" s="26"/>
      <c r="T57" s="26">
        <f>SUMIFS(Journal!$D$4:$D$9283,Journal!$B$4:$B$9283,T$5,Journal!$C$4:$C$9283,$B56)</f>
        <v>0</v>
      </c>
      <c r="U57" s="29" t="str">
        <f>IF(SUM(D57:T57)=0,"",SUM(D57:T57))</f>
        <v/>
      </c>
    </row>
    <row r="58" spans="1:21" ht="15" customHeight="1" x14ac:dyDescent="0.25">
      <c r="A58" s="43"/>
      <c r="B58" s="52" t="str">
        <f>Base!G19</f>
        <v>35 -</v>
      </c>
      <c r="C58" s="23" t="str">
        <f>A$3</f>
        <v>Prévu</v>
      </c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24" t="str">
        <f>IF(SUM(D58:T58)=0,"",SUM(D58:T58))</f>
        <v/>
      </c>
    </row>
    <row r="59" spans="1:21" ht="15" customHeight="1" thickBot="1" x14ac:dyDescent="0.3">
      <c r="A59" s="43"/>
      <c r="B59" s="32"/>
      <c r="C59" s="25" t="str">
        <f>A$4</f>
        <v>Réalisé</v>
      </c>
      <c r="D59" s="26">
        <f>SUMIFS(Journal!$D$4:$D$9283,Journal!$B$4:$B$9283,D$5,Journal!$C$4:$C$9283,$B58)</f>
        <v>0</v>
      </c>
      <c r="E59" s="26"/>
      <c r="F59" s="26">
        <f>SUMIFS(Journal!$D$4:$D$9283,Journal!$B$4:$B$9283,F$5,Journal!$C$4:$C$9283,$B58)</f>
        <v>0</v>
      </c>
      <c r="G59" s="26"/>
      <c r="H59" s="26">
        <f>SUMIFS(Journal!$D$4:$D$9283,Journal!$B$4:$B$9283,H$5,Journal!$C$4:$C$9283,$B58)</f>
        <v>0</v>
      </c>
      <c r="I59" s="26"/>
      <c r="J59" s="26">
        <f>SUMIFS(Journal!$D$4:$D$9283,Journal!$B$4:$B$9283,J$5,Journal!$C$4:$C$9283,$B58)</f>
        <v>0</v>
      </c>
      <c r="K59" s="26"/>
      <c r="L59" s="26">
        <f>SUMIFS(Journal!$D$4:$D$9283,Journal!$B$4:$B$9283,L$5,Journal!$C$4:$C$9283,$B58)</f>
        <v>0</v>
      </c>
      <c r="M59" s="26"/>
      <c r="N59" s="26">
        <f>SUMIFS(Journal!$D$4:$D$9283,Journal!$B$4:$B$9283,N$5,Journal!$C$4:$C$9283,$B58)</f>
        <v>0</v>
      </c>
      <c r="O59" s="26"/>
      <c r="P59" s="26">
        <f>SUMIFS(Journal!$D$4:$D$9283,Journal!$B$4:$B$9283,P$5,Journal!$C$4:$C$9283,$B58)</f>
        <v>0</v>
      </c>
      <c r="Q59" s="26"/>
      <c r="R59" s="26">
        <f>SUMIFS(Journal!$D$4:$D$9283,Journal!$B$4:$B$9283,R$5,Journal!$C$4:$C$9283,$B58)</f>
        <v>0</v>
      </c>
      <c r="S59" s="26"/>
      <c r="T59" s="26">
        <f>SUMIFS(Journal!$D$4:$D$9283,Journal!$B$4:$B$9283,T$5,Journal!$C$4:$C$9283,$B58)</f>
        <v>0</v>
      </c>
      <c r="U59" s="29" t="str">
        <f>IF(SUM(D59:T59)=0,"",SUM(D59:T59))</f>
        <v/>
      </c>
    </row>
    <row r="60" spans="1:21" ht="15" customHeight="1" x14ac:dyDescent="0.25">
      <c r="A60" s="43"/>
      <c r="B60" s="52" t="str">
        <f>Base!G20</f>
        <v>36 -</v>
      </c>
      <c r="C60" s="23" t="str">
        <f>A$3</f>
        <v>Prévu</v>
      </c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24" t="str">
        <f>IF(SUM(D60:T60)=0,"",SUM(D60:T60))</f>
        <v/>
      </c>
    </row>
    <row r="61" spans="1:21" ht="15" customHeight="1" thickBot="1" x14ac:dyDescent="0.3">
      <c r="A61" s="43"/>
      <c r="B61" s="32"/>
      <c r="C61" s="25" t="str">
        <f>A$4</f>
        <v>Réalisé</v>
      </c>
      <c r="D61" s="26">
        <f>SUMIFS(Journal!$D$4:$D$9283,Journal!$B$4:$B$9283,D$5,Journal!$C$4:$C$9283,$B60)</f>
        <v>0</v>
      </c>
      <c r="E61" s="26"/>
      <c r="F61" s="26">
        <f>SUMIFS(Journal!$D$4:$D$9283,Journal!$B$4:$B$9283,F$5,Journal!$C$4:$C$9283,$B60)</f>
        <v>0</v>
      </c>
      <c r="G61" s="26"/>
      <c r="H61" s="26">
        <f>SUMIFS(Journal!$D$4:$D$9283,Journal!$B$4:$B$9283,H$5,Journal!$C$4:$C$9283,$B60)</f>
        <v>0</v>
      </c>
      <c r="I61" s="26"/>
      <c r="J61" s="26">
        <f>SUMIFS(Journal!$D$4:$D$9283,Journal!$B$4:$B$9283,J$5,Journal!$C$4:$C$9283,$B60)</f>
        <v>0</v>
      </c>
      <c r="K61" s="26"/>
      <c r="L61" s="26">
        <f>SUMIFS(Journal!$D$4:$D$9283,Journal!$B$4:$B$9283,L$5,Journal!$C$4:$C$9283,$B60)</f>
        <v>0</v>
      </c>
      <c r="M61" s="26"/>
      <c r="N61" s="26">
        <f>SUMIFS(Journal!$D$4:$D$9283,Journal!$B$4:$B$9283,N$5,Journal!$C$4:$C$9283,$B60)</f>
        <v>0</v>
      </c>
      <c r="O61" s="26"/>
      <c r="P61" s="26">
        <f>SUMIFS(Journal!$D$4:$D$9283,Journal!$B$4:$B$9283,P$5,Journal!$C$4:$C$9283,$B60)</f>
        <v>0</v>
      </c>
      <c r="Q61" s="26"/>
      <c r="R61" s="26">
        <f>SUMIFS(Journal!$D$4:$D$9283,Journal!$B$4:$B$9283,R$5,Journal!$C$4:$C$9283,$B60)</f>
        <v>0</v>
      </c>
      <c r="S61" s="26"/>
      <c r="T61" s="26">
        <f>SUMIFS(Journal!$D$4:$D$9283,Journal!$B$4:$B$9283,T$5,Journal!$C$4:$C$9283,$B60)</f>
        <v>0</v>
      </c>
      <c r="U61" s="29" t="str">
        <f>IF(SUM(D61:T61)=0,"",SUM(D61:T61))</f>
        <v/>
      </c>
    </row>
    <row r="62" spans="1:21" ht="20.25" customHeight="1" x14ac:dyDescent="0.25">
      <c r="A62" s="91" t="str">
        <f>Base!F27</f>
        <v>5 Documentation</v>
      </c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21">
        <f>SUMIF($C64:$C75,$C64,U64:U75)</f>
        <v>0</v>
      </c>
    </row>
    <row r="63" spans="1:21" ht="15" customHeight="1" thickBot="1" x14ac:dyDescent="0.3">
      <c r="A63" s="93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22">
        <f>SUMIF($C64:$C75,$C65,U64:U75)</f>
        <v>0</v>
      </c>
    </row>
    <row r="64" spans="1:21" ht="15" customHeight="1" x14ac:dyDescent="0.25">
      <c r="A64" s="43"/>
      <c r="B64" s="52" t="str">
        <f>Base!G21</f>
        <v>41 Tests unitaires</v>
      </c>
      <c r="C64" s="23" t="str">
        <f>A$3</f>
        <v>Prévu</v>
      </c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24" t="str">
        <f>IF(SUM(D64:T64)=0,"",SUM(D64:T64))</f>
        <v/>
      </c>
    </row>
    <row r="65" spans="1:21" ht="15" customHeight="1" thickBot="1" x14ac:dyDescent="0.3">
      <c r="A65" s="43"/>
      <c r="B65" s="32"/>
      <c r="C65" s="25" t="str">
        <f>A$4</f>
        <v>Réalisé</v>
      </c>
      <c r="D65" s="26">
        <f>SUMIFS(Journal!$D$4:$D$9283,Journal!$B$4:$B$9283,D$5,Journal!$C$4:$C$9283,$B64)</f>
        <v>0</v>
      </c>
      <c r="E65" s="26"/>
      <c r="F65" s="26">
        <f>SUMIFS(Journal!$D$4:$D$9283,Journal!$B$4:$B$9283,F$5,Journal!$C$4:$C$9283,$B64)</f>
        <v>0</v>
      </c>
      <c r="G65" s="26"/>
      <c r="H65" s="26">
        <f>SUMIFS(Journal!$D$4:$D$9283,Journal!$B$4:$B$9283,H$5,Journal!$C$4:$C$9283,$B64)</f>
        <v>0</v>
      </c>
      <c r="I65" s="26"/>
      <c r="J65" s="26">
        <f>SUMIFS(Journal!$D$4:$D$9283,Journal!$B$4:$B$9283,J$5,Journal!$C$4:$C$9283,$B64)</f>
        <v>0</v>
      </c>
      <c r="K65" s="26"/>
      <c r="L65" s="26">
        <f>SUMIFS(Journal!$D$4:$D$9283,Journal!$B$4:$B$9283,L$5,Journal!$C$4:$C$9283,$B64)</f>
        <v>0</v>
      </c>
      <c r="M65" s="26"/>
      <c r="N65" s="26">
        <f>SUMIFS(Journal!$D$4:$D$9283,Journal!$B$4:$B$9283,N$5,Journal!$C$4:$C$9283,$B64)</f>
        <v>0</v>
      </c>
      <c r="O65" s="26"/>
      <c r="P65" s="26">
        <f>SUMIFS(Journal!$D$4:$D$9283,Journal!$B$4:$B$9283,P$5,Journal!$C$4:$C$9283,$B64)</f>
        <v>0</v>
      </c>
      <c r="Q65" s="26"/>
      <c r="R65" s="26">
        <f>SUMIFS(Journal!$D$4:$D$9283,Journal!$B$4:$B$9283,R$5,Journal!$C$4:$C$9283,$B64)</f>
        <v>0</v>
      </c>
      <c r="S65" s="26"/>
      <c r="T65" s="26">
        <f>SUMIFS(Journal!$D$4:$D$9283,Journal!$B$4:$B$9283,T$5,Journal!$C$4:$C$9283,$B64)</f>
        <v>0</v>
      </c>
      <c r="U65" s="29" t="str">
        <f>IF(SUM(D65:T65)=0,"",SUM(D65:T65))</f>
        <v/>
      </c>
    </row>
    <row r="66" spans="1:21" ht="15" customHeight="1" x14ac:dyDescent="0.25">
      <c r="A66" s="43"/>
      <c r="B66" s="52" t="str">
        <f>Base!G22</f>
        <v>42 Tests d'intégration</v>
      </c>
      <c r="C66" s="23" t="str">
        <f>A$3</f>
        <v>Prévu</v>
      </c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24" t="str">
        <f>IF(SUM(D66:T66)=0,"",SUM(D66:T66))</f>
        <v/>
      </c>
    </row>
    <row r="67" spans="1:21" ht="15" customHeight="1" thickBot="1" x14ac:dyDescent="0.3">
      <c r="A67" s="43"/>
      <c r="B67" s="32"/>
      <c r="C67" s="25" t="str">
        <f>A$4</f>
        <v>Réalisé</v>
      </c>
      <c r="D67" s="26">
        <f>SUMIFS(Journal!$D$4:$D$9283,Journal!$B$4:$B$9283,D$5,Journal!$C$4:$C$9283,$B66)</f>
        <v>0</v>
      </c>
      <c r="E67" s="26"/>
      <c r="F67" s="26">
        <f>SUMIFS(Journal!$D$4:$D$9283,Journal!$B$4:$B$9283,F$5,Journal!$C$4:$C$9283,$B66)</f>
        <v>0</v>
      </c>
      <c r="G67" s="26"/>
      <c r="H67" s="26">
        <f>SUMIFS(Journal!$D$4:$D$9283,Journal!$B$4:$B$9283,H$5,Journal!$C$4:$C$9283,$B66)</f>
        <v>0</v>
      </c>
      <c r="I67" s="26"/>
      <c r="J67" s="26">
        <f>SUMIFS(Journal!$D$4:$D$9283,Journal!$B$4:$B$9283,J$5,Journal!$C$4:$C$9283,$B66)</f>
        <v>0</v>
      </c>
      <c r="K67" s="26"/>
      <c r="L67" s="26">
        <f>SUMIFS(Journal!$D$4:$D$9283,Journal!$B$4:$B$9283,L$5,Journal!$C$4:$C$9283,$B66)</f>
        <v>0</v>
      </c>
      <c r="M67" s="26"/>
      <c r="N67" s="26">
        <f>SUMIFS(Journal!$D$4:$D$9283,Journal!$B$4:$B$9283,N$5,Journal!$C$4:$C$9283,$B66)</f>
        <v>0</v>
      </c>
      <c r="O67" s="26"/>
      <c r="P67" s="26">
        <f>SUMIFS(Journal!$D$4:$D$9283,Journal!$B$4:$B$9283,P$5,Journal!$C$4:$C$9283,$B66)</f>
        <v>0</v>
      </c>
      <c r="Q67" s="26"/>
      <c r="R67" s="26">
        <f>SUMIFS(Journal!$D$4:$D$9283,Journal!$B$4:$B$9283,R$5,Journal!$C$4:$C$9283,$B66)</f>
        <v>0</v>
      </c>
      <c r="S67" s="26"/>
      <c r="T67" s="26">
        <f>SUMIFS(Journal!$D$4:$D$9283,Journal!$B$4:$B$9283,T$5,Journal!$C$4:$C$9283,$B66)</f>
        <v>0</v>
      </c>
      <c r="U67" s="29" t="str">
        <f>IF(SUM(D67:T67)=0,"",SUM(D67:T67))</f>
        <v/>
      </c>
    </row>
    <row r="68" spans="1:21" ht="15" customHeight="1" x14ac:dyDescent="0.25">
      <c r="A68" s="43"/>
      <c r="B68" s="52" t="str">
        <f>Base!G23</f>
        <v>43 Tests fonctionnels</v>
      </c>
      <c r="C68" s="23" t="str">
        <f>A$3</f>
        <v>Prévu</v>
      </c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24" t="str">
        <f>IF(SUM(D68:T68)=0,"",SUM(D68:T68))</f>
        <v/>
      </c>
    </row>
    <row r="69" spans="1:21" ht="15" customHeight="1" thickBot="1" x14ac:dyDescent="0.3">
      <c r="A69" s="43"/>
      <c r="B69" s="32"/>
      <c r="C69" s="25" t="str">
        <f>A$4</f>
        <v>Réalisé</v>
      </c>
      <c r="D69" s="26">
        <f>SUMIFS(Journal!$D$4:$D$9283,Journal!$B$4:$B$9283,D$5,Journal!$C$4:$C$9283,$B68)</f>
        <v>0</v>
      </c>
      <c r="E69" s="26"/>
      <c r="F69" s="26">
        <f>SUMIFS(Journal!$D$4:$D$9283,Journal!$B$4:$B$9283,F$5,Journal!$C$4:$C$9283,$B68)</f>
        <v>0</v>
      </c>
      <c r="G69" s="26"/>
      <c r="H69" s="26">
        <f>SUMIFS(Journal!$D$4:$D$9283,Journal!$B$4:$B$9283,H$5,Journal!$C$4:$C$9283,$B68)</f>
        <v>0</v>
      </c>
      <c r="I69" s="26"/>
      <c r="J69" s="26">
        <f>SUMIFS(Journal!$D$4:$D$9283,Journal!$B$4:$B$9283,J$5,Journal!$C$4:$C$9283,$B68)</f>
        <v>0</v>
      </c>
      <c r="K69" s="26"/>
      <c r="L69" s="26">
        <f>SUMIFS(Journal!$D$4:$D$9283,Journal!$B$4:$B$9283,L$5,Journal!$C$4:$C$9283,$B68)</f>
        <v>0</v>
      </c>
      <c r="M69" s="26"/>
      <c r="N69" s="26">
        <f>SUMIFS(Journal!$D$4:$D$9283,Journal!$B$4:$B$9283,N$5,Journal!$C$4:$C$9283,$B68)</f>
        <v>0</v>
      </c>
      <c r="O69" s="26"/>
      <c r="P69" s="26">
        <f>SUMIFS(Journal!$D$4:$D$9283,Journal!$B$4:$B$9283,P$5,Journal!$C$4:$C$9283,$B68)</f>
        <v>0</v>
      </c>
      <c r="Q69" s="26"/>
      <c r="R69" s="26">
        <f>SUMIFS(Journal!$D$4:$D$9283,Journal!$B$4:$B$9283,R$5,Journal!$C$4:$C$9283,$B68)</f>
        <v>0</v>
      </c>
      <c r="S69" s="26"/>
      <c r="T69" s="26">
        <f>SUMIFS(Journal!$D$4:$D$9283,Journal!$B$4:$B$9283,T$5,Journal!$C$4:$C$9283,$B68)</f>
        <v>0</v>
      </c>
      <c r="U69" s="29" t="str">
        <f>IF(SUM(D69:T69)=0,"",SUM(D69:T69))</f>
        <v/>
      </c>
    </row>
    <row r="70" spans="1:21" ht="15" customHeight="1" x14ac:dyDescent="0.25">
      <c r="A70" s="43"/>
      <c r="B70" s="52" t="str">
        <f>Base!G24</f>
        <v>44 -</v>
      </c>
      <c r="C70" s="23" t="str">
        <f>A$3</f>
        <v>Prévu</v>
      </c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24" t="str">
        <f>IF(SUM(D70:T70)=0,"",SUM(D70:T70))</f>
        <v/>
      </c>
    </row>
    <row r="71" spans="1:21" ht="15" customHeight="1" thickBot="1" x14ac:dyDescent="0.3">
      <c r="A71" s="43"/>
      <c r="B71" s="32"/>
      <c r="C71" s="25" t="str">
        <f>A$4</f>
        <v>Réalisé</v>
      </c>
      <c r="D71" s="26">
        <f>SUMIFS(Journal!$D$4:$D$9283,Journal!$B$4:$B$9283,D$5,Journal!$C$4:$C$9283,$B70)</f>
        <v>0</v>
      </c>
      <c r="E71" s="26"/>
      <c r="F71" s="26">
        <f>SUMIFS(Journal!$D$4:$D$9283,Journal!$B$4:$B$9283,F$5,Journal!$C$4:$C$9283,$B70)</f>
        <v>0</v>
      </c>
      <c r="G71" s="26"/>
      <c r="H71" s="26">
        <f>SUMIFS(Journal!$D$4:$D$9283,Journal!$B$4:$B$9283,H$5,Journal!$C$4:$C$9283,$B70)</f>
        <v>0</v>
      </c>
      <c r="I71" s="26"/>
      <c r="J71" s="26">
        <f>SUMIFS(Journal!$D$4:$D$9283,Journal!$B$4:$B$9283,J$5,Journal!$C$4:$C$9283,$B70)</f>
        <v>0</v>
      </c>
      <c r="K71" s="26"/>
      <c r="L71" s="26">
        <f>SUMIFS(Journal!$D$4:$D$9283,Journal!$B$4:$B$9283,L$5,Journal!$C$4:$C$9283,$B70)</f>
        <v>0</v>
      </c>
      <c r="M71" s="26"/>
      <c r="N71" s="26">
        <f>SUMIFS(Journal!$D$4:$D$9283,Journal!$B$4:$B$9283,N$5,Journal!$C$4:$C$9283,$B70)</f>
        <v>0</v>
      </c>
      <c r="O71" s="26"/>
      <c r="P71" s="26">
        <f>SUMIFS(Journal!$D$4:$D$9283,Journal!$B$4:$B$9283,P$5,Journal!$C$4:$C$9283,$B70)</f>
        <v>0</v>
      </c>
      <c r="Q71" s="26"/>
      <c r="R71" s="26">
        <f>SUMIFS(Journal!$D$4:$D$9283,Journal!$B$4:$B$9283,R$5,Journal!$C$4:$C$9283,$B70)</f>
        <v>0</v>
      </c>
      <c r="S71" s="26"/>
      <c r="T71" s="26">
        <f>SUMIFS(Journal!$D$4:$D$9283,Journal!$B$4:$B$9283,T$5,Journal!$C$4:$C$9283,$B70)</f>
        <v>0</v>
      </c>
      <c r="U71" s="29" t="str">
        <f>IF(SUM(D71:T71)=0,"",SUM(D71:T71))</f>
        <v/>
      </c>
    </row>
    <row r="72" spans="1:21" ht="15" customHeight="1" x14ac:dyDescent="0.25">
      <c r="A72" s="43"/>
      <c r="B72" s="52" t="str">
        <f>Base!G25</f>
        <v>45 -</v>
      </c>
      <c r="C72" s="23" t="str">
        <f>A$3</f>
        <v>Prévu</v>
      </c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24" t="str">
        <f>IF(SUM(D72:T72)=0,"",SUM(D72:T72))</f>
        <v/>
      </c>
    </row>
    <row r="73" spans="1:21" ht="15" customHeight="1" x14ac:dyDescent="0.25">
      <c r="A73" s="43"/>
      <c r="B73" s="32"/>
      <c r="C73" s="25" t="str">
        <f>A$4</f>
        <v>Réalisé</v>
      </c>
      <c r="D73" s="26">
        <f>SUMIFS(Journal!$D$4:$D$9283,Journal!$B$4:$B$9283,D$5,Journal!$C$4:$C$9283,$B72)</f>
        <v>0</v>
      </c>
      <c r="E73" s="26"/>
      <c r="F73" s="26">
        <f>SUMIFS(Journal!$D$4:$D$9283,Journal!$B$4:$B$9283,F$5,Journal!$C$4:$C$9283,$B72)</f>
        <v>0</v>
      </c>
      <c r="G73" s="26"/>
      <c r="H73" s="26">
        <f>SUMIFS(Journal!$D$4:$D$9283,Journal!$B$4:$B$9283,H$5,Journal!$C$4:$C$9283,$B72)</f>
        <v>0</v>
      </c>
      <c r="I73" s="26"/>
      <c r="J73" s="26">
        <f>SUMIFS(Journal!$D$4:$D$9283,Journal!$B$4:$B$9283,J$5,Journal!$C$4:$C$9283,$B72)</f>
        <v>0</v>
      </c>
      <c r="K73" s="26"/>
      <c r="L73" s="26">
        <f>SUMIFS(Journal!$D$4:$D$9283,Journal!$B$4:$B$9283,L$5,Journal!$C$4:$C$9283,$B72)</f>
        <v>0</v>
      </c>
      <c r="M73" s="26"/>
      <c r="N73" s="26">
        <f>SUMIFS(Journal!$D$4:$D$9283,Journal!$B$4:$B$9283,N$5,Journal!$C$4:$C$9283,$B72)</f>
        <v>0</v>
      </c>
      <c r="O73" s="26"/>
      <c r="P73" s="26">
        <f>SUMIFS(Journal!$D$4:$D$9283,Journal!$B$4:$B$9283,P$5,Journal!$C$4:$C$9283,$B72)</f>
        <v>0</v>
      </c>
      <c r="Q73" s="26"/>
      <c r="R73" s="26">
        <f>SUMIFS(Journal!$D$4:$D$9283,Journal!$B$4:$B$9283,R$5,Journal!$C$4:$C$9283,$B72)</f>
        <v>0</v>
      </c>
      <c r="S73" s="26"/>
      <c r="T73" s="26">
        <f>SUMIFS(Journal!$D$4:$D$9283,Journal!$B$4:$B$9283,T$5,Journal!$C$4:$C$9283,$B72)</f>
        <v>0</v>
      </c>
      <c r="U73" s="29" t="str">
        <f>IF(SUM(D73:T73)=0,"",SUM(D73:T73))</f>
        <v/>
      </c>
    </row>
    <row r="74" spans="1:21" ht="15" customHeight="1" x14ac:dyDescent="0.25">
      <c r="A74" s="43"/>
      <c r="B74" s="52" t="str">
        <f>Base!G26</f>
        <v>46 -</v>
      </c>
      <c r="C74" s="23" t="str">
        <f>A$3</f>
        <v>Prévu</v>
      </c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0" t="str">
        <f>IF(SUM(D74:T74)=0,"",SUM(D74:T74))</f>
        <v/>
      </c>
    </row>
    <row r="75" spans="1:21" ht="15" customHeight="1" thickBot="1" x14ac:dyDescent="0.3">
      <c r="A75" s="43"/>
      <c r="B75" s="32"/>
      <c r="C75" s="25" t="str">
        <f>A$4</f>
        <v>Réalisé</v>
      </c>
      <c r="D75" s="26">
        <f>SUMIFS(Journal!$D$4:$D$9283,Journal!$B$4:$B$9283,D$5,Journal!$C$4:$C$9283,$B74)</f>
        <v>0</v>
      </c>
      <c r="E75" s="26"/>
      <c r="F75" s="26">
        <f>SUMIFS(Journal!$D$4:$D$9283,Journal!$B$4:$B$9283,F$5,Journal!$C$4:$C$9283,$B74)</f>
        <v>0</v>
      </c>
      <c r="G75" s="26"/>
      <c r="H75" s="26">
        <f>SUMIFS(Journal!$D$4:$D$9283,Journal!$B$4:$B$9283,H$5,Journal!$C$4:$C$9283,$B74)</f>
        <v>0</v>
      </c>
      <c r="I75" s="26"/>
      <c r="J75" s="26">
        <f>SUMIFS(Journal!$D$4:$D$9283,Journal!$B$4:$B$9283,J$5,Journal!$C$4:$C$9283,$B74)</f>
        <v>0</v>
      </c>
      <c r="K75" s="26"/>
      <c r="L75" s="26">
        <f>SUMIFS(Journal!$D$4:$D$9283,Journal!$B$4:$B$9283,L$5,Journal!$C$4:$C$9283,$B74)</f>
        <v>0</v>
      </c>
      <c r="M75" s="26"/>
      <c r="N75" s="26">
        <f>SUMIFS(Journal!$D$4:$D$9283,Journal!$B$4:$B$9283,N$5,Journal!$C$4:$C$9283,$B74)</f>
        <v>0</v>
      </c>
      <c r="O75" s="26"/>
      <c r="P75" s="26">
        <f>SUMIFS(Journal!$D$4:$D$9283,Journal!$B$4:$B$9283,P$5,Journal!$C$4:$C$9283,$B74)</f>
        <v>0</v>
      </c>
      <c r="Q75" s="26"/>
      <c r="R75" s="26">
        <f>SUMIFS(Journal!$D$4:$D$9283,Journal!$B$4:$B$9283,R$5,Journal!$C$4:$C$9283,$B74)</f>
        <v>0</v>
      </c>
      <c r="S75" s="26"/>
      <c r="T75" s="26">
        <f>SUMIFS(Journal!$D$4:$D$9283,Journal!$B$4:$B$9283,T$5,Journal!$C$4:$C$9283,$B74)</f>
        <v>0</v>
      </c>
      <c r="U75" s="29" t="str">
        <f>IF(SUM(D75:T75)=0,"",SUM(D75:T75))</f>
        <v/>
      </c>
    </row>
    <row r="76" spans="1:21" ht="20.25" customHeight="1" x14ac:dyDescent="0.25">
      <c r="A76" s="95" t="str">
        <f>Base!F33</f>
        <v>6 Absence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21">
        <f>SUMIF($C78:$C89,$C78,U78:U89)</f>
        <v>0</v>
      </c>
    </row>
    <row r="77" spans="1:21" ht="15" customHeight="1" thickBot="1" x14ac:dyDescent="0.3">
      <c r="A77" s="97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22">
        <f>SUMIF($C78:$C89,$C79,U78:U89)</f>
        <v>0</v>
      </c>
    </row>
    <row r="78" spans="1:21" ht="15" customHeight="1" x14ac:dyDescent="0.25">
      <c r="A78" s="43"/>
      <c r="B78" s="52" t="str">
        <f>Base!G27</f>
        <v>51 Rapport hebdomadaire</v>
      </c>
      <c r="C78" s="23" t="str">
        <f>A$3</f>
        <v>Prévu</v>
      </c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24" t="str">
        <f>IF(SUM(E78:T78)=0,"",SUM(E78:T78))</f>
        <v/>
      </c>
    </row>
    <row r="79" spans="1:21" ht="15" customHeight="1" thickBot="1" x14ac:dyDescent="0.3">
      <c r="A79" s="43"/>
      <c r="B79" s="32"/>
      <c r="C79" s="25" t="str">
        <f>A$4</f>
        <v>Réalisé</v>
      </c>
      <c r="D79" s="26"/>
      <c r="E79" s="26"/>
      <c r="F79" s="26">
        <f>SUMIFS(Journal!$D$4:$D$9283,Journal!$B$4:$B$9283,F$5,Journal!$C$4:$C$9283,$B78)</f>
        <v>0</v>
      </c>
      <c r="G79" s="26"/>
      <c r="H79" s="26">
        <f>SUMIFS(Journal!$D$4:$D$9283,Journal!$B$4:$B$9283,H$5,Journal!$C$4:$C$9283,$B78)</f>
        <v>0</v>
      </c>
      <c r="I79" s="26"/>
      <c r="J79" s="26">
        <f>SUMIFS(Journal!$D$4:$D$9283,Journal!$B$4:$B$9283,J$5,Journal!$C$4:$C$9283,$B78)</f>
        <v>0</v>
      </c>
      <c r="K79" s="26"/>
      <c r="L79" s="26">
        <f>SUMIFS(Journal!$D$4:$D$9283,Journal!$B$4:$B$9283,L$5,Journal!$C$4:$C$9283,$B78)</f>
        <v>0</v>
      </c>
      <c r="M79" s="26"/>
      <c r="N79" s="26">
        <f>SUMIFS(Journal!$D$4:$D$9283,Journal!$B$4:$B$9283,N$5,Journal!$C$4:$C$9283,$B78)</f>
        <v>0</v>
      </c>
      <c r="O79" s="26"/>
      <c r="P79" s="26">
        <f>SUMIFS(Journal!$D$4:$D$9283,Journal!$B$4:$B$9283,P$5,Journal!$C$4:$C$9283,$B78)</f>
        <v>0</v>
      </c>
      <c r="Q79" s="26"/>
      <c r="R79" s="26">
        <f>SUMIFS(Journal!$D$4:$D$9283,Journal!$B$4:$B$9283,R$5,Journal!$C$4:$C$9283,$B78)</f>
        <v>0</v>
      </c>
      <c r="S79" s="26"/>
      <c r="T79" s="26">
        <f>SUMIFS(Journal!$D$4:$D$9283,Journal!$B$4:$B$9283,T$5,Journal!$C$4:$C$9283,$B78)</f>
        <v>0</v>
      </c>
      <c r="U79" s="29" t="str">
        <f>IF(SUM(D79:T79)=0,"",SUM(D79:T79))</f>
        <v/>
      </c>
    </row>
    <row r="80" spans="1:21" ht="15" customHeight="1" x14ac:dyDescent="0.25">
      <c r="A80" s="43"/>
      <c r="B80" s="52" t="str">
        <f>Base!G28</f>
        <v>52 Mode d'emploi utilisateur</v>
      </c>
      <c r="C80" s="23" t="str">
        <f>A$3</f>
        <v>Prévu</v>
      </c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24" t="str">
        <f>IF(SUM(E80:T80)=0,"",SUM(E80:T80))</f>
        <v/>
      </c>
    </row>
    <row r="81" spans="1:21" ht="15" customHeight="1" thickBot="1" x14ac:dyDescent="0.3">
      <c r="A81" s="43"/>
      <c r="B81" s="32"/>
      <c r="C81" s="25" t="str">
        <f>A$4</f>
        <v>Réalisé</v>
      </c>
      <c r="D81" s="26">
        <f>SUMIFS(Journal!$D$4:$D$9283,Journal!$B$4:$B$9283,D$5,Journal!$C$4:$C$9283,$B80)</f>
        <v>0</v>
      </c>
      <c r="E81" s="26"/>
      <c r="F81" s="26">
        <f>SUMIFS(Journal!$D$4:$D$9283,Journal!$B$4:$B$9283,F$5,Journal!$C$4:$C$9283,$B80)</f>
        <v>0</v>
      </c>
      <c r="G81" s="26"/>
      <c r="H81" s="26">
        <f>SUMIFS(Journal!$D$4:$D$9283,Journal!$B$4:$B$9283,H$5,Journal!$C$4:$C$9283,$B80)</f>
        <v>0</v>
      </c>
      <c r="I81" s="26"/>
      <c r="J81" s="26">
        <f>SUMIFS(Journal!$D$4:$D$9283,Journal!$B$4:$B$9283,J$5,Journal!$C$4:$C$9283,$B80)</f>
        <v>0</v>
      </c>
      <c r="K81" s="26"/>
      <c r="L81" s="26">
        <f>SUMIFS(Journal!$D$4:$D$9283,Journal!$B$4:$B$9283,L$5,Journal!$C$4:$C$9283,$B80)</f>
        <v>0</v>
      </c>
      <c r="M81" s="26"/>
      <c r="N81" s="26">
        <f>SUMIFS(Journal!$D$4:$D$9283,Journal!$B$4:$B$9283,N$5,Journal!$C$4:$C$9283,$B80)</f>
        <v>0</v>
      </c>
      <c r="O81" s="26"/>
      <c r="P81" s="26">
        <f>SUMIFS(Journal!$D$4:$D$9283,Journal!$B$4:$B$9283,P$5,Journal!$C$4:$C$9283,$B80)</f>
        <v>0</v>
      </c>
      <c r="Q81" s="26"/>
      <c r="R81" s="26">
        <f>SUMIFS(Journal!$D$4:$D$9283,Journal!$B$4:$B$9283,R$5,Journal!$C$4:$C$9283,$B80)</f>
        <v>0</v>
      </c>
      <c r="S81" s="26"/>
      <c r="T81" s="26">
        <f>SUMIFS(Journal!$D$4:$D$9283,Journal!$B$4:$B$9283,T$5,Journal!$C$4:$C$9283,$B80)</f>
        <v>0</v>
      </c>
      <c r="U81" s="29" t="str">
        <f>IF(SUM(D81:T81)=0,"",SUM(D81:T81))</f>
        <v/>
      </c>
    </row>
    <row r="82" spans="1:21" ht="15" customHeight="1" x14ac:dyDescent="0.25">
      <c r="A82" s="43"/>
      <c r="B82" s="52" t="str">
        <f>Base!G29</f>
        <v>53 Rapport de pré-TPI</v>
      </c>
      <c r="C82" s="23" t="str">
        <f>A$3</f>
        <v>Prévu</v>
      </c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24" t="str">
        <f>IF(SUM(D82:T82)=0,"",SUM(D82:T82))</f>
        <v/>
      </c>
    </row>
    <row r="83" spans="1:21" ht="15" customHeight="1" thickBot="1" x14ac:dyDescent="0.3">
      <c r="A83" s="43"/>
      <c r="B83" s="32"/>
      <c r="C83" s="25" t="str">
        <f>A$4</f>
        <v>Réalisé</v>
      </c>
      <c r="D83" s="26">
        <f>SUMIFS(Journal!$D$4:$D$9283,Journal!$B$4:$B$9283,D$5,Journal!$C$4:$C$9283,$B82)</f>
        <v>0</v>
      </c>
      <c r="E83" s="26"/>
      <c r="F83" s="26">
        <f>SUMIFS(Journal!$D$4:$D$9283,Journal!$B$4:$B$9283,F$5,Journal!$C$4:$C$9283,$B82)</f>
        <v>0</v>
      </c>
      <c r="G83" s="26"/>
      <c r="H83" s="26">
        <f>SUMIFS(Journal!$D$4:$D$9283,Journal!$B$4:$B$9283,H$5,Journal!$C$4:$C$9283,$B82)</f>
        <v>0</v>
      </c>
      <c r="I83" s="26"/>
      <c r="J83" s="26">
        <f>SUMIFS(Journal!$D$4:$D$9283,Journal!$B$4:$B$9283,J$5,Journal!$C$4:$C$9283,$B82)</f>
        <v>0</v>
      </c>
      <c r="K83" s="26"/>
      <c r="L83" s="26">
        <f>SUMIFS(Journal!$D$4:$D$9283,Journal!$B$4:$B$9283,L$5,Journal!$C$4:$C$9283,$B82)</f>
        <v>0</v>
      </c>
      <c r="M83" s="26"/>
      <c r="N83" s="26">
        <f>SUMIFS(Journal!$D$4:$D$9283,Journal!$B$4:$B$9283,N$5,Journal!$C$4:$C$9283,$B82)</f>
        <v>0</v>
      </c>
      <c r="O83" s="26"/>
      <c r="P83" s="26">
        <f>SUMIFS(Journal!$D$4:$D$9283,Journal!$B$4:$B$9283,P$5,Journal!$C$4:$C$9283,$B82)</f>
        <v>0</v>
      </c>
      <c r="Q83" s="26"/>
      <c r="R83" s="26">
        <f>SUMIFS(Journal!$D$4:$D$9283,Journal!$B$4:$B$9283,R$5,Journal!$C$4:$C$9283,$B82)</f>
        <v>0</v>
      </c>
      <c r="S83" s="26"/>
      <c r="T83" s="26">
        <f>SUMIFS(Journal!$D$4:$D$9283,Journal!$B$4:$B$9283,T$5,Journal!$C$4:$C$9283,$B82)</f>
        <v>0</v>
      </c>
      <c r="U83" s="29" t="str">
        <f>IF(SUM(D83:T83)=0,"",SUM(D83:T83))</f>
        <v/>
      </c>
    </row>
    <row r="84" spans="1:21" ht="15" customHeight="1" x14ac:dyDescent="0.25">
      <c r="A84" s="43"/>
      <c r="B84" s="52" t="str">
        <f>Base!G30</f>
        <v>54 Procédure d'installation</v>
      </c>
      <c r="C84" s="23" t="str">
        <f>A$3</f>
        <v>Prévu</v>
      </c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24" t="str">
        <f>IF(SUM(D84:T84)=0,"",SUM(D84:T84))</f>
        <v/>
      </c>
    </row>
    <row r="85" spans="1:21" ht="15" customHeight="1" thickBot="1" x14ac:dyDescent="0.3">
      <c r="A85" s="43"/>
      <c r="B85" s="32"/>
      <c r="C85" s="25" t="str">
        <f>A$4</f>
        <v>Réalisé</v>
      </c>
      <c r="D85" s="26">
        <f>SUMIFS(Journal!$D$4:$D$9283,Journal!$B$4:$B$9283,D$5,Journal!$C$4:$C$9283,$B84)</f>
        <v>0</v>
      </c>
      <c r="E85" s="26"/>
      <c r="F85" s="26">
        <f>SUMIFS(Journal!$D$4:$D$9283,Journal!$B$4:$B$9283,F$5,Journal!$C$4:$C$9283,$B84)</f>
        <v>0</v>
      </c>
      <c r="G85" s="26"/>
      <c r="H85" s="26">
        <f>SUMIFS(Journal!$D$4:$D$9283,Journal!$B$4:$B$9283,H$5,Journal!$C$4:$C$9283,$B84)</f>
        <v>0</v>
      </c>
      <c r="I85" s="26"/>
      <c r="J85" s="26">
        <f>SUMIFS(Journal!$D$4:$D$9283,Journal!$B$4:$B$9283,J$5,Journal!$C$4:$C$9283,$B84)</f>
        <v>0</v>
      </c>
      <c r="K85" s="26"/>
      <c r="L85" s="26">
        <f>SUMIFS(Journal!$D$4:$D$9283,Journal!$B$4:$B$9283,L$5,Journal!$C$4:$C$9283,$B84)</f>
        <v>0</v>
      </c>
      <c r="M85" s="26"/>
      <c r="N85" s="26">
        <f>SUMIFS(Journal!$D$4:$D$9283,Journal!$B$4:$B$9283,N$5,Journal!$C$4:$C$9283,$B84)</f>
        <v>0</v>
      </c>
      <c r="O85" s="26"/>
      <c r="P85" s="26">
        <f>SUMIFS(Journal!$D$4:$D$9283,Journal!$B$4:$B$9283,P$5,Journal!$C$4:$C$9283,$B84)</f>
        <v>0</v>
      </c>
      <c r="Q85" s="26"/>
      <c r="R85" s="26">
        <f>SUMIFS(Journal!$D$4:$D$9283,Journal!$B$4:$B$9283,R$5,Journal!$C$4:$C$9283,$B84)</f>
        <v>0</v>
      </c>
      <c r="S85" s="26"/>
      <c r="T85" s="26">
        <f>SUMIFS(Journal!$D$4:$D$9283,Journal!$B$4:$B$9283,T$5,Journal!$C$4:$C$9283,$B84)</f>
        <v>0</v>
      </c>
      <c r="U85" s="29" t="str">
        <f>IF(SUM(D85:T85)=0,"",SUM(D85:T85))</f>
        <v/>
      </c>
    </row>
    <row r="86" spans="1:21" ht="15" customHeight="1" x14ac:dyDescent="0.25">
      <c r="A86" s="43"/>
      <c r="B86" s="52" t="str">
        <f>Base!G31</f>
        <v>55 Procédure de mise en service</v>
      </c>
      <c r="C86" s="23" t="str">
        <f>A$3</f>
        <v>Prévu</v>
      </c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24" t="str">
        <f>IF(SUM(D86:T86)=0,"",SUM(D86:T86))</f>
        <v/>
      </c>
    </row>
    <row r="87" spans="1:21" ht="15" customHeight="1" thickBot="1" x14ac:dyDescent="0.3">
      <c r="A87" s="43"/>
      <c r="B87" s="32"/>
      <c r="C87" s="25" t="str">
        <f>A$4</f>
        <v>Réalisé</v>
      </c>
      <c r="D87" s="26">
        <f>SUMIFS(Journal!$D$4:$D$9283,Journal!$B$4:$B$9283,D$5,Journal!$C$4:$C$9283,$B86)</f>
        <v>0</v>
      </c>
      <c r="E87" s="26"/>
      <c r="F87" s="26">
        <f>SUMIFS(Journal!$D$4:$D$9283,Journal!$B$4:$B$9283,F$5,Journal!$C$4:$C$9283,$B86)</f>
        <v>0</v>
      </c>
      <c r="G87" s="26"/>
      <c r="H87" s="26">
        <f>SUMIFS(Journal!$D$4:$D$9283,Journal!$B$4:$B$9283,H$5,Journal!$C$4:$C$9283,$B86)</f>
        <v>0</v>
      </c>
      <c r="I87" s="26"/>
      <c r="J87" s="26">
        <f>SUMIFS(Journal!$D$4:$D$9283,Journal!$B$4:$B$9283,J$5,Journal!$C$4:$C$9283,$B86)</f>
        <v>0</v>
      </c>
      <c r="K87" s="26"/>
      <c r="L87" s="26">
        <f>SUMIFS(Journal!$D$4:$D$9283,Journal!$B$4:$B$9283,L$5,Journal!$C$4:$C$9283,$B86)</f>
        <v>0</v>
      </c>
      <c r="M87" s="26"/>
      <c r="N87" s="26">
        <f>SUMIFS(Journal!$D$4:$D$9283,Journal!$B$4:$B$9283,N$5,Journal!$C$4:$C$9283,$B86)</f>
        <v>0</v>
      </c>
      <c r="O87" s="26"/>
      <c r="P87" s="26">
        <f>SUMIFS(Journal!$D$4:$D$9283,Journal!$B$4:$B$9283,P$5,Journal!$C$4:$C$9283,$B86)</f>
        <v>0</v>
      </c>
      <c r="Q87" s="26"/>
      <c r="R87" s="26">
        <f>SUMIFS(Journal!$D$4:$D$9283,Journal!$B$4:$B$9283,R$5,Journal!$C$4:$C$9283,$B86)</f>
        <v>0</v>
      </c>
      <c r="S87" s="26"/>
      <c r="T87" s="26">
        <f>SUMIFS(Journal!$D$4:$D$9283,Journal!$B$4:$B$9283,T$5,Journal!$C$4:$C$9283,$B86)</f>
        <v>0</v>
      </c>
      <c r="U87" s="29" t="str">
        <f>IF(SUM(D87:T87)=0,"",SUM(D87:T87))</f>
        <v/>
      </c>
    </row>
    <row r="88" spans="1:21" ht="15" customHeight="1" x14ac:dyDescent="0.25">
      <c r="A88" s="43"/>
      <c r="B88" s="52" t="str">
        <f>Base!G32</f>
        <v>56 Commentaires du code</v>
      </c>
      <c r="C88" s="23" t="str">
        <f>A$3</f>
        <v>Prévu</v>
      </c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24" t="str">
        <f>IF(SUM(D88:T88)=0,"",SUM(D88:T88))</f>
        <v/>
      </c>
    </row>
    <row r="89" spans="1:21" ht="15" customHeight="1" x14ac:dyDescent="0.25">
      <c r="A89" s="43"/>
      <c r="B89" s="32"/>
      <c r="C89" s="25" t="str">
        <f>A$4</f>
        <v>Réalisé</v>
      </c>
      <c r="D89" s="26">
        <f>SUMIFS(Journal!$D$4:$D$9283,Journal!$B$4:$B$9283,D$5,Journal!$C$4:$C$9283,$B88)</f>
        <v>0</v>
      </c>
      <c r="E89" s="26"/>
      <c r="F89" s="26">
        <f>SUMIFS(Journal!$D$4:$D$9283,Journal!$B$4:$B$9283,F$5,Journal!$C$4:$C$9283,$B88)</f>
        <v>0</v>
      </c>
      <c r="G89" s="26"/>
      <c r="H89" s="26">
        <f>SUMIFS(Journal!$D$4:$D$9283,Journal!$B$4:$B$9283,H$5,Journal!$C$4:$C$9283,$B88)</f>
        <v>0</v>
      </c>
      <c r="I89" s="26"/>
      <c r="J89" s="26">
        <f>SUMIFS(Journal!$D$4:$D$9283,Journal!$B$4:$B$9283,J$5,Journal!$C$4:$C$9283,$B88)</f>
        <v>0</v>
      </c>
      <c r="K89" s="26"/>
      <c r="L89" s="26">
        <f>SUMIFS(Journal!$D$4:$D$9283,Journal!$B$4:$B$9283,L$5,Journal!$C$4:$C$9283,$B88)</f>
        <v>0</v>
      </c>
      <c r="M89" s="26"/>
      <c r="N89" s="26">
        <f>SUMIFS(Journal!$D$4:$D$9283,Journal!$B$4:$B$9283,N$5,Journal!$C$4:$C$9283,$B88)</f>
        <v>0</v>
      </c>
      <c r="O89" s="26"/>
      <c r="P89" s="26">
        <f>SUMIFS(Journal!$D$4:$D$9283,Journal!$B$4:$B$9283,P$5,Journal!$C$4:$C$9283,$B88)</f>
        <v>0</v>
      </c>
      <c r="Q89" s="26"/>
      <c r="R89" s="26">
        <f>SUMIFS(Journal!$D$4:$D$9283,Journal!$B$4:$B$9283,R$5,Journal!$C$4:$C$9283,$B88)</f>
        <v>0</v>
      </c>
      <c r="S89" s="26"/>
      <c r="T89" s="26">
        <f>SUMIFS(Journal!$D$4:$D$9283,Journal!$B$4:$B$9283,T$5,Journal!$C$4:$C$9283,$B88)</f>
        <v>0</v>
      </c>
      <c r="U89" s="29" t="str">
        <f>IF(SUM(D89:T89)=0,"",SUM(D89:T89))</f>
        <v/>
      </c>
    </row>
  </sheetData>
  <mergeCells count="19">
    <mergeCell ref="D1:T1"/>
    <mergeCell ref="A6:T7"/>
    <mergeCell ref="A20:T21"/>
    <mergeCell ref="A34:T35"/>
    <mergeCell ref="A48:T49"/>
    <mergeCell ref="A62:T63"/>
    <mergeCell ref="A76:T77"/>
    <mergeCell ref="B22:B23"/>
    <mergeCell ref="B24:B25"/>
    <mergeCell ref="B26:B27"/>
    <mergeCell ref="B28:B29"/>
    <mergeCell ref="B30:B31"/>
    <mergeCell ref="B32:B33"/>
    <mergeCell ref="B8:B9"/>
    <mergeCell ref="B10:B11"/>
    <mergeCell ref="B12:B13"/>
    <mergeCell ref="B14:B15"/>
    <mergeCell ref="B16:B17"/>
    <mergeCell ref="B18:B19"/>
  </mergeCells>
  <conditionalFormatting sqref="B3">
    <cfRule type="colorScale" priority="14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4 O4 G4">
    <cfRule type="cellIs" dxfId="111" priority="1405" stopIfTrue="1" operator="greaterThan">
      <formula>0</formula>
    </cfRule>
  </conditionalFormatting>
  <conditionalFormatting sqref="L14:T14 L18:T18 S12:T12 D28:T28 D30:T30 D32:T32 D24:T24 D22:T22 D26:T26 E10:T10 E12:Q12 E8:T8 D42:T42 D44:T44 D46:T46 D38:T38 D36:T36 D40:T40 D56:T56 D58:T58 D60:T60 D52:T52 D50:T50 D54:T54 D70:T70 D72:T72 D74:T74 D66:T66 D64:T64 D68:T68 D84:T84 D86:T86 D88:T88 D80:T80 D78:T78 D82:T82">
    <cfRule type="cellIs" dxfId="110" priority="808" operator="greaterThan">
      <formula>0</formula>
    </cfRule>
  </conditionalFormatting>
  <conditionalFormatting sqref="L15:T15 L19:T19 D33:T33 D31:T31 D29:T29 D23:T23 D25:T25 D27:T27 E13:T13 E9:T9 E11:T11 D47:T47 D45:T45 D43:T43 D37:T37 D39:T39 D41:T41 D61:T61 D59:T59 D57:T57 D51:T51 D53:T53 D55:T55 D75:T75 D73:T73 D71:T71 D65:T65 D67:T67 D69:T69 D89:T89 D87:T87 D85:T85 D79:T79 D81:T81 D83:T83">
    <cfRule type="cellIs" dxfId="109" priority="796" operator="greaterThan">
      <formula>0</formula>
    </cfRule>
  </conditionalFormatting>
  <conditionalFormatting sqref="H3">
    <cfRule type="colorScale" priority="5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108" priority="583" stopIfTrue="1" operator="greaterThan">
      <formula>0</formula>
    </cfRule>
  </conditionalFormatting>
  <conditionalFormatting sqref="L17:T17">
    <cfRule type="cellIs" dxfId="101" priority="547" operator="greaterThan">
      <formula>0</formula>
    </cfRule>
  </conditionalFormatting>
  <conditionalFormatting sqref="L16:Q16 S16">
    <cfRule type="cellIs" dxfId="100" priority="549" operator="greaterThan">
      <formula>0</formula>
    </cfRule>
  </conditionalFormatting>
  <conditionalFormatting sqref="U8 U10 U12 U14 U18">
    <cfRule type="cellIs" dxfId="99" priority="380" operator="greaterThan">
      <formula>0</formula>
    </cfRule>
  </conditionalFormatting>
  <conditionalFormatting sqref="U9 U11 U13 U15 U19">
    <cfRule type="cellIs" dxfId="98" priority="379" operator="greaterThan">
      <formula>0</formula>
    </cfRule>
  </conditionalFormatting>
  <conditionalFormatting sqref="U74">
    <cfRule type="cellIs" dxfId="97" priority="354" operator="greaterThan">
      <formula>0</formula>
    </cfRule>
  </conditionalFormatting>
  <conditionalFormatting sqref="U88 U86 U84 U82 U80 U78 U72 U70 U68 U66 U64 U60 U58 U56 U54 U52 U50 U46 U44 U42 U40 U38 U36 U16">
    <cfRule type="cellIs" dxfId="96" priority="328" operator="greaterThan">
      <formula>0</formula>
    </cfRule>
  </conditionalFormatting>
  <conditionalFormatting sqref="U89 U87 U85 U83 U81 U79 U75 U73 U71 U69 U67 U65 U61 U59 U57 U55 U53 U51 U47 U45 U43 U41 U39 U37 U17">
    <cfRule type="cellIs" dxfId="95" priority="327" operator="greaterThan">
      <formula>0</formula>
    </cfRule>
  </conditionalFormatting>
  <conditionalFormatting sqref="R16">
    <cfRule type="cellIs" dxfId="94" priority="307" operator="greaterThan">
      <formula>0</formula>
    </cfRule>
  </conditionalFormatting>
  <conditionalFormatting sqref="T16">
    <cfRule type="cellIs" dxfId="93" priority="314" operator="greaterThan">
      <formula>0</formula>
    </cfRule>
  </conditionalFormatting>
  <conditionalFormatting sqref="H3">
    <cfRule type="colorScale" priority="2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91" priority="227" stopIfTrue="1" operator="greaterThan">
      <formula>0</formula>
    </cfRule>
  </conditionalFormatting>
  <conditionalFormatting sqref="E4">
    <cfRule type="cellIs" dxfId="90" priority="226" stopIfTrue="1" operator="greaterThan">
      <formula>0</formula>
    </cfRule>
  </conditionalFormatting>
  <conditionalFormatting sqref="D10 D12 D8">
    <cfRule type="cellIs" dxfId="88" priority="215" operator="greaterThan">
      <formula>0</formula>
    </cfRule>
  </conditionalFormatting>
  <conditionalFormatting sqref="D13 D9 D11">
    <cfRule type="cellIs" dxfId="87" priority="214" operator="greaterThan">
      <formula>0</formula>
    </cfRule>
  </conditionalFormatting>
  <conditionalFormatting sqref="E16:K16 E18:K18 E14:K14">
    <cfRule type="cellIs" dxfId="86" priority="207" operator="greaterThan">
      <formula>0</formula>
    </cfRule>
  </conditionalFormatting>
  <conditionalFormatting sqref="E19:K19 E15:K15 E17:K17">
    <cfRule type="cellIs" dxfId="85" priority="206" operator="greaterThan">
      <formula>0</formula>
    </cfRule>
  </conditionalFormatting>
  <conditionalFormatting sqref="D16 D18 D14">
    <cfRule type="cellIs" dxfId="84" priority="205" operator="greaterThan">
      <formula>0</formula>
    </cfRule>
  </conditionalFormatting>
  <conditionalFormatting sqref="D19 D15 D17">
    <cfRule type="cellIs" dxfId="83" priority="204" operator="greaterThan">
      <formula>0</formula>
    </cfRule>
  </conditionalFormatting>
  <conditionalFormatting sqref="F3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82" priority="152" stopIfTrue="1" operator="greaterThan">
      <formula>0</formula>
    </cfRule>
  </conditionalFormatting>
  <conditionalFormatting sqref="F3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81" priority="150" stopIfTrue="1" operator="greaterThan">
      <formula>0</formula>
    </cfRule>
  </conditionalFormatting>
  <conditionalFormatting sqref="D3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80" priority="148" stopIfTrue="1" operator="greaterThan">
      <formula>0</formula>
    </cfRule>
  </conditionalFormatting>
  <conditionalFormatting sqref="D3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9" priority="146" stopIfTrue="1" operator="greaterThan">
      <formula>0</formula>
    </cfRule>
  </conditionalFormatting>
  <conditionalFormatting sqref="G4">
    <cfRule type="cellIs" dxfId="78" priority="145" stopIfTrue="1" operator="greaterThan">
      <formula>0</formula>
    </cfRule>
  </conditionalFormatting>
  <conditionalFormatting sqref="H3">
    <cfRule type="colorScale" priority="14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7" priority="143" stopIfTrue="1" operator="greaterThan">
      <formula>0</formula>
    </cfRule>
  </conditionalFormatting>
  <conditionalFormatting sqref="H3">
    <cfRule type="colorScale" priority="1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6" priority="141" stopIfTrue="1" operator="greaterThan">
      <formula>0</formula>
    </cfRule>
  </conditionalFormatting>
  <conditionalFormatting sqref="F3">
    <cfRule type="colorScale" priority="1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5" priority="139" stopIfTrue="1" operator="greaterThan">
      <formula>0</formula>
    </cfRule>
  </conditionalFormatting>
  <conditionalFormatting sqref="F3">
    <cfRule type="colorScale" priority="13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4" priority="137" stopIfTrue="1" operator="greaterThan">
      <formula>0</formula>
    </cfRule>
  </conditionalFormatting>
  <conditionalFormatting sqref="G4">
    <cfRule type="cellIs" dxfId="73" priority="136" stopIfTrue="1" operator="greaterThan">
      <formula>0</formula>
    </cfRule>
  </conditionalFormatting>
  <conditionalFormatting sqref="H3">
    <cfRule type="colorScale" priority="1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134" stopIfTrue="1" operator="greaterThan">
      <formula>0</formula>
    </cfRule>
  </conditionalFormatting>
  <conditionalFormatting sqref="H3">
    <cfRule type="colorScale" priority="1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1" priority="132" stopIfTrue="1" operator="greaterThan">
      <formula>0</formula>
    </cfRule>
  </conditionalFormatting>
  <conditionalFormatting sqref="F3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0" priority="130" stopIfTrue="1" operator="greaterThan">
      <formula>0</formula>
    </cfRule>
  </conditionalFormatting>
  <conditionalFormatting sqref="F3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69" priority="128" stopIfTrue="1" operator="greaterThan">
      <formula>0</formula>
    </cfRule>
  </conditionalFormatting>
  <conditionalFormatting sqref="H3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8" priority="126" stopIfTrue="1" operator="greaterThan">
      <formula>0</formula>
    </cfRule>
  </conditionalFormatting>
  <conditionalFormatting sqref="H3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7" priority="124" stopIfTrue="1" operator="greaterThan">
      <formula>0</formula>
    </cfRule>
  </conditionalFormatting>
  <conditionalFormatting sqref="G4">
    <cfRule type="cellIs" dxfId="66" priority="123" stopIfTrue="1" operator="greaterThan">
      <formula>0</formula>
    </cfRule>
  </conditionalFormatting>
  <conditionalFormatting sqref="H3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5" priority="121" stopIfTrue="1" operator="greaterThan">
      <formula>0</formula>
    </cfRule>
  </conditionalFormatting>
  <conditionalFormatting sqref="H3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4" priority="119" stopIfTrue="1" operator="greaterThan">
      <formula>0</formula>
    </cfRule>
  </conditionalFormatting>
  <conditionalFormatting sqref="F3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63" priority="117" stopIfTrue="1" operator="greaterThan">
      <formula>0</formula>
    </cfRule>
  </conditionalFormatting>
  <conditionalFormatting sqref="F3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62" priority="115" stopIfTrue="1" operator="greaterThan">
      <formula>0</formula>
    </cfRule>
  </conditionalFormatting>
  <conditionalFormatting sqref="H3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1" priority="113" stopIfTrue="1" operator="greaterThan">
      <formula>0</formula>
    </cfRule>
  </conditionalFormatting>
  <conditionalFormatting sqref="H3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60" priority="111" stopIfTrue="1" operator="greaterThan">
      <formula>0</formula>
    </cfRule>
  </conditionalFormatting>
  <conditionalFormatting sqref="H3">
    <cfRule type="colorScale" priority="1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59" priority="109" stopIfTrue="1" operator="greaterThan">
      <formula>0</formula>
    </cfRule>
  </conditionalFormatting>
  <conditionalFormatting sqref="H3">
    <cfRule type="colorScale" priority="10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58" priority="107" stopIfTrue="1" operator="greaterThan">
      <formula>0</formula>
    </cfRule>
  </conditionalFormatting>
  <conditionalFormatting sqref="M4">
    <cfRule type="cellIs" dxfId="57" priority="106" stopIfTrue="1" operator="greaterThan">
      <formula>0</formula>
    </cfRule>
  </conditionalFormatting>
  <conditionalFormatting sqref="N3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56" priority="104" stopIfTrue="1" operator="greaterThan">
      <formula>0</formula>
    </cfRule>
  </conditionalFormatting>
  <conditionalFormatting sqref="N3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55" priority="102" stopIfTrue="1" operator="greaterThan">
      <formula>0</formula>
    </cfRule>
  </conditionalFormatting>
  <conditionalFormatting sqref="K4">
    <cfRule type="cellIs" dxfId="54" priority="101" stopIfTrue="1" operator="greaterThan">
      <formula>0</formula>
    </cfRule>
  </conditionalFormatting>
  <conditionalFormatting sqref="L3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53" priority="99" stopIfTrue="1" operator="greaterThan">
      <formula>0</formula>
    </cfRule>
  </conditionalFormatting>
  <conditionalFormatting sqref="L3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52" priority="97" stopIfTrue="1" operator="greaterThan">
      <formula>0</formula>
    </cfRule>
  </conditionalFormatting>
  <conditionalFormatting sqref="J3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51" priority="95" stopIfTrue="1" operator="greaterThan">
      <formula>0</formula>
    </cfRule>
  </conditionalFormatting>
  <conditionalFormatting sqref="J3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50" priority="93" stopIfTrue="1" operator="greaterThan">
      <formula>0</formula>
    </cfRule>
  </conditionalFormatting>
  <conditionalFormatting sqref="M4">
    <cfRule type="cellIs" dxfId="49" priority="92" stopIfTrue="1" operator="greaterThan">
      <formula>0</formula>
    </cfRule>
  </conditionalFormatting>
  <conditionalFormatting sqref="N3">
    <cfRule type="colorScale" priority="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48" priority="90" stopIfTrue="1" operator="greaterThan">
      <formula>0</formula>
    </cfRule>
  </conditionalFormatting>
  <conditionalFormatting sqref="N3">
    <cfRule type="colorScale" priority="8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47" priority="88" stopIfTrue="1" operator="greaterThan">
      <formula>0</formula>
    </cfRule>
  </conditionalFormatting>
  <conditionalFormatting sqref="L3">
    <cfRule type="colorScale" priority="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46" priority="86" stopIfTrue="1" operator="greaterThan">
      <formula>0</formula>
    </cfRule>
  </conditionalFormatting>
  <conditionalFormatting sqref="L3">
    <cfRule type="colorScale" priority="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45" priority="84" stopIfTrue="1" operator="greaterThan">
      <formula>0</formula>
    </cfRule>
  </conditionalFormatting>
  <conditionalFormatting sqref="M4">
    <cfRule type="cellIs" dxfId="44" priority="83" stopIfTrue="1" operator="greaterThan">
      <formula>0</formula>
    </cfRule>
  </conditionalFormatting>
  <conditionalFormatting sqref="N3">
    <cfRule type="colorScale" priority="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43" priority="81" stopIfTrue="1" operator="greaterThan">
      <formula>0</formula>
    </cfRule>
  </conditionalFormatting>
  <conditionalFormatting sqref="N3">
    <cfRule type="colorScale" priority="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42" priority="79" stopIfTrue="1" operator="greaterThan">
      <formula>0</formula>
    </cfRule>
  </conditionalFormatting>
  <conditionalFormatting sqref="L3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41" priority="77" stopIfTrue="1" operator="greaterThan">
      <formula>0</formula>
    </cfRule>
  </conditionalFormatting>
  <conditionalFormatting sqref="L3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40" priority="75" stopIfTrue="1" operator="greaterThan">
      <formula>0</formula>
    </cfRule>
  </conditionalFormatting>
  <conditionalFormatting sqref="N3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9" priority="73" stopIfTrue="1" operator="greaterThan">
      <formula>0</formula>
    </cfRule>
  </conditionalFormatting>
  <conditionalFormatting sqref="N3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8" priority="71" stopIfTrue="1" operator="greaterThan">
      <formula>0</formula>
    </cfRule>
  </conditionalFormatting>
  <conditionalFormatting sqref="M4">
    <cfRule type="cellIs" dxfId="37" priority="70" stopIfTrue="1" operator="greaterThan">
      <formula>0</formula>
    </cfRule>
  </conditionalFormatting>
  <conditionalFormatting sqref="N3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68" stopIfTrue="1" operator="greaterThan">
      <formula>0</formula>
    </cfRule>
  </conditionalFormatting>
  <conditionalFormatting sqref="N3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5" priority="66" stopIfTrue="1" operator="greaterThan">
      <formula>0</formula>
    </cfRule>
  </conditionalFormatting>
  <conditionalFormatting sqref="L3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4" priority="64" stopIfTrue="1" operator="greaterThan">
      <formula>0</formula>
    </cfRule>
  </conditionalFormatting>
  <conditionalFormatting sqref="L3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62" stopIfTrue="1" operator="greaterThan">
      <formula>0</formula>
    </cfRule>
  </conditionalFormatting>
  <conditionalFormatting sqref="N3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60" stopIfTrue="1" operator="greaterThan">
      <formula>0</formula>
    </cfRule>
  </conditionalFormatting>
  <conditionalFormatting sqref="N3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1" priority="58" stopIfTrue="1" operator="greaterThan">
      <formula>0</formula>
    </cfRule>
  </conditionalFormatting>
  <conditionalFormatting sqref="N3">
    <cfRule type="colorScale" priority="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0" priority="56" stopIfTrue="1" operator="greaterThan">
      <formula>0</formula>
    </cfRule>
  </conditionalFormatting>
  <conditionalFormatting sqref="N3">
    <cfRule type="colorScale" priority="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29" priority="54" stopIfTrue="1" operator="greaterThan">
      <formula>0</formula>
    </cfRule>
  </conditionalFormatting>
  <conditionalFormatting sqref="S4">
    <cfRule type="cellIs" dxfId="28" priority="53" stopIfTrue="1" operator="greaterThan">
      <formula>0</formula>
    </cfRule>
  </conditionalFormatting>
  <conditionalFormatting sqref="T3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7" priority="51" stopIfTrue="1" operator="greaterThan">
      <formula>0</formula>
    </cfRule>
  </conditionalFormatting>
  <conditionalFormatting sqref="T3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6" priority="49" stopIfTrue="1" operator="greaterThan">
      <formula>0</formula>
    </cfRule>
  </conditionalFormatting>
  <conditionalFormatting sqref="Q4">
    <cfRule type="cellIs" dxfId="25" priority="48" stopIfTrue="1" operator="greaterThan">
      <formula>0</formula>
    </cfRule>
  </conditionalFormatting>
  <conditionalFormatting sqref="R3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24" priority="46" stopIfTrue="1" operator="greaterThan">
      <formula>0</formula>
    </cfRule>
  </conditionalFormatting>
  <conditionalFormatting sqref="R3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23" priority="44" stopIfTrue="1" operator="greaterThan">
      <formula>0</formula>
    </cfRule>
  </conditionalFormatting>
  <conditionalFormatting sqref="P3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22" priority="42" stopIfTrue="1" operator="greaterThan">
      <formula>0</formula>
    </cfRule>
  </conditionalFormatting>
  <conditionalFormatting sqref="P3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21" priority="40" stopIfTrue="1" operator="greaterThan">
      <formula>0</formula>
    </cfRule>
  </conditionalFormatting>
  <conditionalFormatting sqref="S4">
    <cfRule type="cellIs" dxfId="20" priority="39" stopIfTrue="1" operator="greaterThan">
      <formula>0</formula>
    </cfRule>
  </conditionalFormatting>
  <conditionalFormatting sqref="T3">
    <cfRule type="colorScale" priority="3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9" priority="37" stopIfTrue="1" operator="greaterThan">
      <formula>0</formula>
    </cfRule>
  </conditionalFormatting>
  <conditionalFormatting sqref="T3">
    <cfRule type="colorScale" priority="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8" priority="35" stopIfTrue="1" operator="greaterThan">
      <formula>0</formula>
    </cfRule>
  </conditionalFormatting>
  <conditionalFormatting sqref="R3">
    <cfRule type="colorScale" priority="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17" priority="33" stopIfTrue="1" operator="greaterThan">
      <formula>0</formula>
    </cfRule>
  </conditionalFormatting>
  <conditionalFormatting sqref="R3">
    <cfRule type="colorScale" priority="3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16" priority="31" stopIfTrue="1" operator="greaterThan">
      <formula>0</formula>
    </cfRule>
  </conditionalFormatting>
  <conditionalFormatting sqref="S4">
    <cfRule type="cellIs" dxfId="15" priority="30" stopIfTrue="1" operator="greaterThan">
      <formula>0</formula>
    </cfRule>
  </conditionalFormatting>
  <conditionalFormatting sqref="T3">
    <cfRule type="colorScale" priority="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4" priority="28" stopIfTrue="1" operator="greaterThan">
      <formula>0</formula>
    </cfRule>
  </conditionalFormatting>
  <conditionalFormatting sqref="T3">
    <cfRule type="colorScale" priority="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3" priority="26" stopIfTrue="1" operator="greaterThan">
      <formula>0</formula>
    </cfRule>
  </conditionalFormatting>
  <conditionalFormatting sqref="R3">
    <cfRule type="colorScale" priority="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12" priority="24" stopIfTrue="1" operator="greaterThan">
      <formula>0</formula>
    </cfRule>
  </conditionalFormatting>
  <conditionalFormatting sqref="R3">
    <cfRule type="colorScale" priority="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11" priority="22" stopIfTrue="1" operator="greaterThan">
      <formula>0</formula>
    </cfRule>
  </conditionalFormatting>
  <conditionalFormatting sqref="T3">
    <cfRule type="colorScale" priority="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0" priority="20" stopIfTrue="1" operator="greaterThan">
      <formula>0</formula>
    </cfRule>
  </conditionalFormatting>
  <conditionalFormatting sqref="T3">
    <cfRule type="colorScale" priority="1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9" priority="18" stopIfTrue="1" operator="greaterThan">
      <formula>0</formula>
    </cfRule>
  </conditionalFormatting>
  <conditionalFormatting sqref="S4">
    <cfRule type="cellIs" dxfId="8" priority="17" stopIfTrue="1" operator="greaterThan">
      <formula>0</formula>
    </cfRule>
  </conditionalFormatting>
  <conditionalFormatting sqref="T3">
    <cfRule type="colorScale" priority="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7" priority="15" stopIfTrue="1" operator="greaterThan">
      <formula>0</formula>
    </cfRule>
  </conditionalFormatting>
  <conditionalFormatting sqref="T3">
    <cfRule type="colorScale" priority="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" priority="13" stopIfTrue="1" operator="greaterThan">
      <formula>0</formula>
    </cfRule>
  </conditionalFormatting>
  <conditionalFormatting sqref="R3">
    <cfRule type="colorScale" priority="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5" priority="11" stopIfTrue="1" operator="greaterThan">
      <formula>0</formula>
    </cfRule>
  </conditionalFormatting>
  <conditionalFormatting sqref="R3">
    <cfRule type="colorScale" priority="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4" priority="9" stopIfTrue="1" operator="greaterThan">
      <formula>0</formula>
    </cfRule>
  </conditionalFormatting>
  <conditionalFormatting sqref="T3">
    <cfRule type="colorScale" priority="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" priority="7" stopIfTrue="1" operator="greaterThan">
      <formula>0</formula>
    </cfRule>
  </conditionalFormatting>
  <conditionalFormatting sqref="T3">
    <cfRule type="colorScale" priority="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" priority="5" stopIfTrue="1" operator="greaterThan">
      <formula>0</formula>
    </cfRule>
  </conditionalFormatting>
  <conditionalFormatting sqref="T3">
    <cfRule type="colorScale" priority="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1" priority="3" stopIfTrue="1" operator="greaterThan">
      <formula>0</formula>
    </cfRule>
  </conditionalFormatting>
  <conditionalFormatting sqref="T3">
    <cfRule type="colorScale" priority="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0" priority="1" stopIfTrue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54" orientation="portrait" r:id="rId1"/>
  <headerFooter>
    <oddHeader>&amp;L&amp;G&amp;C&amp;"-,Gras"&amp;36T1710-ST1 Stockage et transport&amp;R&amp;G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48"/>
  <sheetViews>
    <sheetView workbookViewId="0">
      <pane ySplit="3" topLeftCell="A4" activePane="bottomLeft" state="frozen"/>
      <selection pane="bottomLeft" activeCell="E5" sqref="E5"/>
    </sheetView>
  </sheetViews>
  <sheetFormatPr baseColWidth="10" defaultRowHeight="15" x14ac:dyDescent="0.25"/>
  <cols>
    <col min="3" max="3" width="31.7109375" customWidth="1"/>
    <col min="4" max="4" width="11" customWidth="1"/>
    <col min="5" max="5" width="50.42578125" customWidth="1"/>
  </cols>
  <sheetData>
    <row r="1" spans="1:5" x14ac:dyDescent="0.25">
      <c r="A1" s="51" t="s">
        <v>6</v>
      </c>
      <c r="B1" s="51"/>
      <c r="C1" s="36" t="str">
        <f>CONCATENATE(Base!C3," ",Base!D3)</f>
        <v>Costa Paola</v>
      </c>
      <c r="D1" s="2"/>
      <c r="E1" s="53">
        <f ca="1">TODAY()</f>
        <v>44228</v>
      </c>
    </row>
    <row r="2" spans="1:5" ht="15.75" thickBot="1" x14ac:dyDescent="0.3">
      <c r="A2" s="36" t="s">
        <v>12</v>
      </c>
      <c r="B2" s="2"/>
      <c r="C2" s="2"/>
      <c r="D2" s="2"/>
      <c r="E2" s="1"/>
    </row>
    <row r="3" spans="1:5" ht="15.75" thickBot="1" x14ac:dyDescent="0.3">
      <c r="A3" s="106" t="s">
        <v>1</v>
      </c>
      <c r="B3" s="106" t="s">
        <v>4</v>
      </c>
      <c r="C3" s="107" t="s">
        <v>7</v>
      </c>
      <c r="D3" s="106" t="s">
        <v>2</v>
      </c>
      <c r="E3" s="108" t="s">
        <v>3</v>
      </c>
    </row>
    <row r="4" spans="1:5" x14ac:dyDescent="0.25">
      <c r="A4" s="101">
        <v>44228</v>
      </c>
      <c r="B4" s="102">
        <f>WEEKNUM(A4,1)</f>
        <v>6</v>
      </c>
      <c r="C4" s="103" t="s">
        <v>43</v>
      </c>
      <c r="D4" s="104">
        <v>4.1666666666666664E-2</v>
      </c>
      <c r="E4" s="105" t="s">
        <v>45</v>
      </c>
    </row>
    <row r="5" spans="1:5" x14ac:dyDescent="0.25">
      <c r="A5" s="50"/>
      <c r="B5" s="3">
        <f>WEEKNUM(A5,1)</f>
        <v>0</v>
      </c>
      <c r="C5" s="48"/>
      <c r="D5" s="46"/>
      <c r="E5" s="49"/>
    </row>
    <row r="6" spans="1:5" x14ac:dyDescent="0.25">
      <c r="A6" s="66"/>
      <c r="B6" s="67">
        <f t="shared" ref="B6:B48" si="0">WEEKNUM(A6,1)</f>
        <v>0</v>
      </c>
      <c r="C6" s="68"/>
      <c r="D6" s="69"/>
      <c r="E6" s="70"/>
    </row>
    <row r="7" spans="1:5" x14ac:dyDescent="0.25">
      <c r="A7" s="50"/>
      <c r="B7" s="3">
        <f t="shared" si="0"/>
        <v>0</v>
      </c>
      <c r="C7" s="48"/>
      <c r="D7" s="46"/>
      <c r="E7" s="47"/>
    </row>
    <row r="8" spans="1:5" x14ac:dyDescent="0.25">
      <c r="A8" s="50"/>
      <c r="B8" s="3">
        <f t="shared" si="0"/>
        <v>0</v>
      </c>
      <c r="C8" s="48"/>
      <c r="D8" s="46"/>
      <c r="E8" s="49"/>
    </row>
    <row r="9" spans="1:5" x14ac:dyDescent="0.25">
      <c r="A9" s="50"/>
      <c r="B9" s="3">
        <f t="shared" si="0"/>
        <v>0</v>
      </c>
      <c r="C9" s="48"/>
      <c r="D9" s="46"/>
      <c r="E9" s="49"/>
    </row>
    <row r="10" spans="1:5" x14ac:dyDescent="0.25">
      <c r="A10" s="50"/>
      <c r="B10" s="3">
        <f t="shared" si="0"/>
        <v>0</v>
      </c>
      <c r="C10" s="48"/>
      <c r="D10" s="46"/>
      <c r="E10" s="49"/>
    </row>
    <row r="11" spans="1:5" x14ac:dyDescent="0.25">
      <c r="A11" s="50"/>
      <c r="B11" s="3">
        <f t="shared" si="0"/>
        <v>0</v>
      </c>
      <c r="C11" s="48"/>
      <c r="D11" s="46"/>
      <c r="E11" s="49"/>
    </row>
    <row r="12" spans="1:5" x14ac:dyDescent="0.25">
      <c r="A12" s="50"/>
      <c r="B12" s="3">
        <f t="shared" si="0"/>
        <v>0</v>
      </c>
      <c r="C12" s="48"/>
      <c r="D12" s="46"/>
      <c r="E12" s="49"/>
    </row>
    <row r="13" spans="1:5" x14ac:dyDescent="0.25">
      <c r="A13" s="50"/>
      <c r="B13" s="3">
        <f t="shared" si="0"/>
        <v>0</v>
      </c>
      <c r="C13" s="45"/>
      <c r="D13" s="46"/>
      <c r="E13" s="49"/>
    </row>
    <row r="14" spans="1:5" x14ac:dyDescent="0.25">
      <c r="A14" s="50"/>
      <c r="B14" s="3">
        <f t="shared" si="0"/>
        <v>0</v>
      </c>
      <c r="C14" s="48"/>
      <c r="D14" s="46"/>
      <c r="E14" s="49"/>
    </row>
    <row r="15" spans="1:5" x14ac:dyDescent="0.25">
      <c r="A15" s="50"/>
      <c r="B15" s="3">
        <f t="shared" si="0"/>
        <v>0</v>
      </c>
      <c r="C15" s="45"/>
      <c r="D15" s="46"/>
      <c r="E15" s="49"/>
    </row>
    <row r="16" spans="1:5" x14ac:dyDescent="0.25">
      <c r="A16" s="50"/>
      <c r="B16" s="3">
        <f t="shared" si="0"/>
        <v>0</v>
      </c>
      <c r="C16" s="48"/>
      <c r="D16" s="46"/>
      <c r="E16" s="49"/>
    </row>
    <row r="17" spans="1:5" x14ac:dyDescent="0.25">
      <c r="A17" s="50"/>
      <c r="B17" s="3">
        <f t="shared" si="0"/>
        <v>0</v>
      </c>
      <c r="C17" s="45"/>
      <c r="D17" s="46"/>
      <c r="E17" s="49"/>
    </row>
    <row r="18" spans="1:5" x14ac:dyDescent="0.25">
      <c r="A18" s="50"/>
      <c r="B18" s="3">
        <f t="shared" si="0"/>
        <v>0</v>
      </c>
      <c r="C18" s="48"/>
      <c r="D18" s="46"/>
      <c r="E18" s="49"/>
    </row>
    <row r="19" spans="1:5" ht="16.5" customHeight="1" x14ac:dyDescent="0.25">
      <c r="A19" s="50"/>
      <c r="B19" s="3">
        <f t="shared" si="0"/>
        <v>0</v>
      </c>
      <c r="C19" s="45"/>
      <c r="D19" s="46"/>
      <c r="E19" s="47"/>
    </row>
    <row r="20" spans="1:5" x14ac:dyDescent="0.25">
      <c r="A20" s="50"/>
      <c r="B20" s="3">
        <f t="shared" si="0"/>
        <v>0</v>
      </c>
      <c r="C20" s="48"/>
      <c r="D20" s="46"/>
      <c r="E20" s="49"/>
    </row>
    <row r="21" spans="1:5" x14ac:dyDescent="0.25">
      <c r="A21" s="50"/>
      <c r="B21" s="3">
        <f t="shared" si="0"/>
        <v>0</v>
      </c>
      <c r="C21" s="45"/>
      <c r="D21" s="46"/>
      <c r="E21" s="49"/>
    </row>
    <row r="22" spans="1:5" x14ac:dyDescent="0.25">
      <c r="A22" s="50"/>
      <c r="B22" s="3">
        <f t="shared" si="0"/>
        <v>0</v>
      </c>
      <c r="C22" s="48"/>
      <c r="D22" s="46"/>
      <c r="E22" s="49"/>
    </row>
    <row r="23" spans="1:5" x14ac:dyDescent="0.25">
      <c r="A23" s="50"/>
      <c r="B23" s="3">
        <f t="shared" si="0"/>
        <v>0</v>
      </c>
      <c r="C23" s="48"/>
      <c r="D23" s="46"/>
      <c r="E23" s="49"/>
    </row>
    <row r="24" spans="1:5" x14ac:dyDescent="0.25">
      <c r="A24" s="50"/>
      <c r="B24" s="3">
        <f t="shared" si="0"/>
        <v>0</v>
      </c>
      <c r="C24" s="48"/>
      <c r="D24" s="46"/>
      <c r="E24" s="49"/>
    </row>
    <row r="25" spans="1:5" x14ac:dyDescent="0.25">
      <c r="A25" s="50"/>
      <c r="B25" s="3">
        <f t="shared" si="0"/>
        <v>0</v>
      </c>
      <c r="C25" s="48"/>
      <c r="D25" s="46"/>
      <c r="E25" s="49"/>
    </row>
    <row r="26" spans="1:5" x14ac:dyDescent="0.25">
      <c r="A26" s="50"/>
      <c r="B26" s="3">
        <f t="shared" si="0"/>
        <v>0</v>
      </c>
      <c r="C26" s="45"/>
      <c r="D26" s="46"/>
      <c r="E26" s="49"/>
    </row>
    <row r="27" spans="1:5" x14ac:dyDescent="0.25">
      <c r="A27" s="50"/>
      <c r="B27" s="3">
        <f t="shared" si="0"/>
        <v>0</v>
      </c>
      <c r="C27" s="48"/>
      <c r="D27" s="46"/>
      <c r="E27" s="49"/>
    </row>
    <row r="28" spans="1:5" x14ac:dyDescent="0.25">
      <c r="A28" s="50"/>
      <c r="B28" s="3">
        <f t="shared" si="0"/>
        <v>0</v>
      </c>
      <c r="C28" s="45"/>
      <c r="D28" s="46"/>
      <c r="E28" s="49"/>
    </row>
    <row r="29" spans="1:5" x14ac:dyDescent="0.25">
      <c r="A29" s="50"/>
      <c r="B29" s="3">
        <f t="shared" si="0"/>
        <v>0</v>
      </c>
      <c r="C29" s="45"/>
      <c r="D29" s="46"/>
      <c r="E29" s="49"/>
    </row>
    <row r="30" spans="1:5" x14ac:dyDescent="0.25">
      <c r="A30" s="50"/>
      <c r="B30" s="3">
        <f t="shared" si="0"/>
        <v>0</v>
      </c>
      <c r="C30" s="45"/>
      <c r="D30" s="46"/>
      <c r="E30" s="49"/>
    </row>
    <row r="31" spans="1:5" x14ac:dyDescent="0.25">
      <c r="A31" s="50"/>
      <c r="B31" s="3">
        <f t="shared" si="0"/>
        <v>0</v>
      </c>
      <c r="C31" s="45"/>
      <c r="D31" s="46"/>
      <c r="E31" s="49"/>
    </row>
    <row r="32" spans="1:5" x14ac:dyDescent="0.25">
      <c r="A32" s="50"/>
      <c r="B32" s="3">
        <f t="shared" si="0"/>
        <v>0</v>
      </c>
      <c r="C32" s="45"/>
      <c r="D32" s="46"/>
      <c r="E32" s="49"/>
    </row>
    <row r="33" spans="1:5" x14ac:dyDescent="0.25">
      <c r="A33" s="50"/>
      <c r="B33" s="3">
        <f t="shared" si="0"/>
        <v>0</v>
      </c>
      <c r="C33" s="45"/>
      <c r="D33" s="46"/>
      <c r="E33" s="49"/>
    </row>
    <row r="34" spans="1:5" x14ac:dyDescent="0.25">
      <c r="A34" s="50"/>
      <c r="B34" s="3">
        <f t="shared" si="0"/>
        <v>0</v>
      </c>
      <c r="C34" s="48"/>
      <c r="D34" s="46"/>
      <c r="E34" s="49"/>
    </row>
    <row r="35" spans="1:5" x14ac:dyDescent="0.25">
      <c r="A35" s="50"/>
      <c r="B35" s="3">
        <f t="shared" si="0"/>
        <v>0</v>
      </c>
      <c r="C35" s="45"/>
      <c r="D35" s="46"/>
      <c r="E35" s="49"/>
    </row>
    <row r="36" spans="1:5" x14ac:dyDescent="0.25">
      <c r="A36" s="50"/>
      <c r="B36" s="3">
        <f t="shared" si="0"/>
        <v>0</v>
      </c>
      <c r="C36" s="45"/>
      <c r="D36" s="46"/>
      <c r="E36" s="49"/>
    </row>
    <row r="37" spans="1:5" x14ac:dyDescent="0.25">
      <c r="A37" s="50"/>
      <c r="B37" s="3">
        <f t="shared" si="0"/>
        <v>0</v>
      </c>
      <c r="C37" s="45"/>
      <c r="D37" s="46"/>
      <c r="E37" s="49"/>
    </row>
    <row r="38" spans="1:5" x14ac:dyDescent="0.25">
      <c r="A38" s="50"/>
      <c r="B38" s="3">
        <f t="shared" si="0"/>
        <v>0</v>
      </c>
      <c r="C38" s="45"/>
      <c r="D38" s="46"/>
      <c r="E38" s="49"/>
    </row>
    <row r="39" spans="1:5" x14ac:dyDescent="0.25">
      <c r="A39" s="50"/>
      <c r="B39" s="3">
        <f t="shared" si="0"/>
        <v>0</v>
      </c>
      <c r="C39" s="45"/>
      <c r="D39" s="46"/>
      <c r="E39" s="49"/>
    </row>
    <row r="40" spans="1:5" x14ac:dyDescent="0.25">
      <c r="A40" s="50"/>
      <c r="B40" s="3">
        <f t="shared" si="0"/>
        <v>0</v>
      </c>
      <c r="C40" s="45"/>
      <c r="D40" s="46"/>
      <c r="E40" s="49"/>
    </row>
    <row r="41" spans="1:5" x14ac:dyDescent="0.25">
      <c r="A41" s="50"/>
      <c r="B41" s="3">
        <f t="shared" si="0"/>
        <v>0</v>
      </c>
      <c r="C41" s="45"/>
      <c r="D41" s="46"/>
      <c r="E41" s="49"/>
    </row>
    <row r="42" spans="1:5" x14ac:dyDescent="0.25">
      <c r="A42" s="50"/>
      <c r="B42" s="3">
        <f t="shared" si="0"/>
        <v>0</v>
      </c>
      <c r="C42" s="45"/>
      <c r="D42" s="46"/>
      <c r="E42" s="49"/>
    </row>
    <row r="43" spans="1:5" x14ac:dyDescent="0.25">
      <c r="A43" s="50"/>
      <c r="B43" s="3">
        <f t="shared" si="0"/>
        <v>0</v>
      </c>
      <c r="C43" s="45"/>
      <c r="D43" s="46"/>
      <c r="E43" s="49"/>
    </row>
    <row r="44" spans="1:5" x14ac:dyDescent="0.25">
      <c r="A44" s="50"/>
      <c r="B44" s="3">
        <f t="shared" si="0"/>
        <v>0</v>
      </c>
      <c r="C44" s="45"/>
      <c r="D44" s="46"/>
      <c r="E44" s="49"/>
    </row>
    <row r="45" spans="1:5" x14ac:dyDescent="0.25">
      <c r="A45" s="50"/>
      <c r="B45" s="3">
        <f t="shared" si="0"/>
        <v>0</v>
      </c>
      <c r="C45" s="45"/>
      <c r="D45" s="46"/>
      <c r="E45" s="49"/>
    </row>
    <row r="46" spans="1:5" x14ac:dyDescent="0.25">
      <c r="A46" s="50"/>
      <c r="B46" s="3">
        <f t="shared" si="0"/>
        <v>0</v>
      </c>
      <c r="C46" s="48"/>
      <c r="D46" s="46"/>
      <c r="E46" s="49"/>
    </row>
    <row r="47" spans="1:5" x14ac:dyDescent="0.25">
      <c r="A47" s="50"/>
      <c r="B47" s="3">
        <f t="shared" si="0"/>
        <v>0</v>
      </c>
      <c r="C47" s="48"/>
      <c r="D47" s="46"/>
      <c r="E47" s="49"/>
    </row>
    <row r="48" spans="1:5" x14ac:dyDescent="0.25">
      <c r="A48" s="50"/>
      <c r="B48" s="3">
        <f t="shared" si="0"/>
        <v>0</v>
      </c>
      <c r="C48" s="48"/>
      <c r="D48" s="46"/>
      <c r="E48" s="49"/>
    </row>
  </sheetData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Base!$G$3:$G$32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2021-02-01T13:28:36Z</cp:lastPrinted>
  <dcterms:created xsi:type="dcterms:W3CDTF">2015-01-22T08:10:30Z</dcterms:created>
  <dcterms:modified xsi:type="dcterms:W3CDTF">2021-02-01T13:46:41Z</dcterms:modified>
</cp:coreProperties>
</file>