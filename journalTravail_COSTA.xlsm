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<sst xmlns="http://schemas.openxmlformats.org/spreadsheetml/2006/main" count="243" uniqueCount="136">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</sst>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34" t="s">
        <v>36</v>
      </c>
      <c r="E3" s="234"/>
      <c r="F3" s="234"/>
      <c r="G3" s="234"/>
      <c r="H3" s="234"/>
      <c r="I3" s="234"/>
      <c r="J3" s="234"/>
      <c r="K3" s="234"/>
      <c r="L3" s="234"/>
      <c r="M3" s="234"/>
      <c r="N3" s="234"/>
      <c r="O3" s="234"/>
      <c r="P3" s="234"/>
      <c r="Q3" s="234"/>
      <c r="R3" s="234"/>
      <c r="S3" s="234"/>
      <c r="T3" s="23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1.1319444444444444</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0.1423611111111111</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35" t="str">
        <f>Base!F3</f>
        <v>1 Analyse</v>
      </c>
      <c r="B9" s="236"/>
      <c r="C9" s="236"/>
      <c r="D9" s="236"/>
      <c r="E9" s="236"/>
      <c r="F9" s="236"/>
      <c r="G9" s="236"/>
      <c r="H9" s="236"/>
      <c r="I9" s="236"/>
      <c r="J9" s="236"/>
      <c r="K9" s="236"/>
      <c r="L9" s="236"/>
      <c r="M9" s="236"/>
      <c r="N9" s="236"/>
      <c r="O9" s="236"/>
      <c r="P9" s="236"/>
      <c r="Q9" s="236"/>
      <c r="R9" s="236"/>
      <c r="S9" s="236"/>
      <c r="T9" s="237"/>
      <c r="U9" s="16">
        <f>SUMIF($C11:$C22,$C11,U11:U22)</f>
        <v>0.2638888888888889</v>
      </c>
    </row>
    <row r="10" spans="1:21" ht="15" customHeight="1" thickBot="1" x14ac:dyDescent="0.3">
      <c r="A10" s="238"/>
      <c r="B10" s="239"/>
      <c r="C10" s="239"/>
      <c r="D10" s="239"/>
      <c r="E10" s="239"/>
      <c r="F10" s="239"/>
      <c r="G10" s="239"/>
      <c r="H10" s="239"/>
      <c r="I10" s="239"/>
      <c r="J10" s="239"/>
      <c r="K10" s="239"/>
      <c r="L10" s="239"/>
      <c r="M10" s="239"/>
      <c r="N10" s="239"/>
      <c r="O10" s="239"/>
      <c r="P10" s="239"/>
      <c r="Q10" s="239"/>
      <c r="R10" s="239"/>
      <c r="S10" s="239"/>
      <c r="T10" s="240"/>
      <c r="U10" s="17">
        <f>SUMIF($C11:$C22,$C12,U11:U22)</f>
        <v>0.21527777777777779</v>
      </c>
    </row>
    <row r="11" spans="1:21" ht="15" customHeight="1" x14ac:dyDescent="0.25">
      <c r="A11" s="37"/>
      <c r="B11" s="230"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1"/>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25">
      <c r="A13" s="37"/>
      <c r="B13" s="232"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1"/>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25">
      <c r="A15" s="37"/>
      <c r="B15" s="232"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1"/>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25">
      <c r="A17" s="37"/>
      <c r="B17" s="232"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1"/>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25">
      <c r="A19" s="37"/>
      <c r="B19" s="232"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1"/>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25">
      <c r="A21" s="37"/>
      <c r="B21" s="232"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33"/>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25">
      <c r="A23" s="241" t="str">
        <f>Base!F9</f>
        <v>2 Conception</v>
      </c>
      <c r="B23" s="242"/>
      <c r="C23" s="242"/>
      <c r="D23" s="242"/>
      <c r="E23" s="242"/>
      <c r="F23" s="242"/>
      <c r="G23" s="242"/>
      <c r="H23" s="242"/>
      <c r="I23" s="242"/>
      <c r="J23" s="242"/>
      <c r="K23" s="242"/>
      <c r="L23" s="242"/>
      <c r="M23" s="242"/>
      <c r="N23" s="242"/>
      <c r="O23" s="242"/>
      <c r="P23" s="242"/>
      <c r="Q23" s="242"/>
      <c r="R23" s="242"/>
      <c r="S23" s="242"/>
      <c r="T23" s="242"/>
      <c r="U23" s="16">
        <f>SUMIF($C25:$C36,$C25,U25:U36)</f>
        <v>0.25</v>
      </c>
    </row>
    <row r="24" spans="1:21" ht="15" customHeight="1" thickBot="1" x14ac:dyDescent="0.3">
      <c r="A24" s="243"/>
      <c r="B24" s="244"/>
      <c r="C24" s="244"/>
      <c r="D24" s="244"/>
      <c r="E24" s="244"/>
      <c r="F24" s="244"/>
      <c r="G24" s="244"/>
      <c r="H24" s="244"/>
      <c r="I24" s="244"/>
      <c r="J24" s="244"/>
      <c r="K24" s="244"/>
      <c r="L24" s="244"/>
      <c r="M24" s="244"/>
      <c r="N24" s="244"/>
      <c r="O24" s="244"/>
      <c r="P24" s="244"/>
      <c r="Q24" s="244"/>
      <c r="R24" s="244"/>
      <c r="S24" s="244"/>
      <c r="T24" s="244"/>
      <c r="U24" s="17">
        <f>SUMIF($C25:$C36,$C26,U25:U36)</f>
        <v>0.34722222222222221</v>
      </c>
    </row>
    <row r="25" spans="1:21" ht="15" customHeight="1" x14ac:dyDescent="0.25">
      <c r="A25" s="37"/>
      <c r="B25" s="230"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1"/>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25">
      <c r="A27" s="37"/>
      <c r="B27" s="232"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1"/>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25">
      <c r="A29" s="37"/>
      <c r="B29" s="232"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1"/>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25">
      <c r="A31" s="37"/>
      <c r="B31" s="232"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1"/>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25">
      <c r="A33" s="37"/>
      <c r="B33" s="232"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1"/>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25">
      <c r="A35" s="37"/>
      <c r="B35" s="232"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33"/>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0.19444444444444442</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6.597222222222221E-2</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0.1388888888888889</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2.7777777777777776E-2</v>
      </c>
      <c r="M48" s="21"/>
      <c r="N48" s="21">
        <f>SUMIFS(Journal!$F$5:$F$9353,Journal!$C$5:$C$9353,N$8,Journal!$D$5:$D$9353,$B47)</f>
        <v>0</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2.7777777777777776E-2</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0</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25">
      <c r="A59" s="245" t="str">
        <f>Base!F25</f>
        <v>4 Tests</v>
      </c>
      <c r="B59" s="246"/>
      <c r="C59" s="246"/>
      <c r="D59" s="246"/>
      <c r="E59" s="246"/>
      <c r="F59" s="246"/>
      <c r="G59" s="246"/>
      <c r="H59" s="246"/>
      <c r="I59" s="246"/>
      <c r="J59" s="246"/>
      <c r="K59" s="246"/>
      <c r="L59" s="246"/>
      <c r="M59" s="246"/>
      <c r="N59" s="246"/>
      <c r="O59" s="246"/>
      <c r="P59" s="246"/>
      <c r="Q59" s="246"/>
      <c r="R59" s="246"/>
      <c r="S59" s="246"/>
      <c r="T59" s="246"/>
      <c r="U59" s="16">
        <f>SUMIF($C61:$C72,$C61,U61:U72)</f>
        <v>0.52083333333333326</v>
      </c>
    </row>
    <row r="60" spans="1:21" ht="15" customHeight="1" thickBot="1" x14ac:dyDescent="0.3">
      <c r="A60" s="247"/>
      <c r="B60" s="248"/>
      <c r="C60" s="248"/>
      <c r="D60" s="248"/>
      <c r="E60" s="248"/>
      <c r="F60" s="248"/>
      <c r="G60" s="248"/>
      <c r="H60" s="248"/>
      <c r="I60" s="248"/>
      <c r="J60" s="248"/>
      <c r="K60" s="248"/>
      <c r="L60" s="248"/>
      <c r="M60" s="248"/>
      <c r="N60" s="248"/>
      <c r="O60" s="248"/>
      <c r="P60" s="248"/>
      <c r="Q60" s="248"/>
      <c r="R60" s="248"/>
      <c r="S60" s="248"/>
      <c r="T60" s="248"/>
      <c r="U60" s="17">
        <f>SUMIF($C61:$C72,$C62,U61:U72)</f>
        <v>4.1666666666666664E-2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0</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25">
      <c r="A73" s="222" t="str">
        <f>Base!F31</f>
        <v>5 Documentation</v>
      </c>
      <c r="B73" s="223"/>
      <c r="C73" s="223"/>
      <c r="D73" s="223"/>
      <c r="E73" s="223"/>
      <c r="F73" s="223"/>
      <c r="G73" s="223"/>
      <c r="H73" s="223"/>
      <c r="I73" s="223"/>
      <c r="J73" s="223"/>
      <c r="K73" s="223"/>
      <c r="L73" s="223"/>
      <c r="M73" s="223"/>
      <c r="N73" s="223"/>
      <c r="O73" s="223"/>
      <c r="P73" s="223"/>
      <c r="Q73" s="223"/>
      <c r="R73" s="223"/>
      <c r="S73" s="223"/>
      <c r="T73" s="223"/>
      <c r="U73" s="16">
        <f>SUMIF($C75:$C86,$C75,U75:U86)</f>
        <v>0.82638888888888884</v>
      </c>
    </row>
    <row r="74" spans="1:21" ht="15" customHeight="1" thickBot="1" x14ac:dyDescent="0.3">
      <c r="A74" s="224"/>
      <c r="B74" s="225"/>
      <c r="C74" s="225"/>
      <c r="D74" s="225"/>
      <c r="E74" s="225"/>
      <c r="F74" s="225"/>
      <c r="G74" s="225"/>
      <c r="H74" s="225"/>
      <c r="I74" s="225"/>
      <c r="J74" s="225"/>
      <c r="K74" s="225"/>
      <c r="L74" s="225"/>
      <c r="M74" s="225"/>
      <c r="N74" s="225"/>
      <c r="O74" s="225"/>
      <c r="P74" s="225"/>
      <c r="Q74" s="225"/>
      <c r="R74" s="225"/>
      <c r="S74" s="225"/>
      <c r="T74" s="225"/>
      <c r="U74" s="17">
        <f>SUMIF($C75:$C86,$C76,U75:U86)</f>
        <v>0.1875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6.9444444444444441E-3</v>
      </c>
      <c r="M76" s="21"/>
      <c r="N76" s="21">
        <f>SUMIFS(Journal!$F$5:$F$9353,Journal!$C$5:$C$9353,N$8,Journal!$D$5:$D$9353,$B75)</f>
        <v>0</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0.15972222222222224</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0</v>
      </c>
      <c r="M84" s="21"/>
      <c r="N84" s="21">
        <f>SUMIFS(Journal!$F$5:$F$9353,Journal!$C$5:$C$9353,N$8,Journal!$D$5:$D$9353,$B83)</f>
        <v>0</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2.7777777777777776E-2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25">
      <c r="A87" s="226" t="str">
        <f>Base!F37</f>
        <v>6 Absence</v>
      </c>
      <c r="B87" s="227"/>
      <c r="C87" s="227"/>
      <c r="D87" s="227"/>
      <c r="E87" s="227"/>
      <c r="F87" s="227"/>
      <c r="G87" s="227"/>
      <c r="H87" s="227"/>
      <c r="I87" s="227"/>
      <c r="J87" s="227"/>
      <c r="K87" s="227"/>
      <c r="L87" s="227"/>
      <c r="M87" s="227"/>
      <c r="N87" s="227"/>
      <c r="O87" s="227"/>
      <c r="P87" s="227"/>
      <c r="Q87" s="227"/>
      <c r="R87" s="227"/>
      <c r="S87" s="227"/>
      <c r="T87" s="227"/>
      <c r="U87" s="16">
        <f>SUMIF($C89:$C100,$C89,U89:U100)</f>
        <v>6.2500000000000014E-2</v>
      </c>
    </row>
    <row r="88" spans="1:21" ht="15" customHeight="1" thickBot="1" x14ac:dyDescent="0.3">
      <c r="A88" s="228"/>
      <c r="B88" s="229"/>
      <c r="C88" s="229"/>
      <c r="D88" s="229"/>
      <c r="E88" s="229"/>
      <c r="F88" s="229"/>
      <c r="G88" s="229"/>
      <c r="H88" s="229"/>
      <c r="I88" s="229"/>
      <c r="J88" s="229"/>
      <c r="K88" s="229"/>
      <c r="L88" s="229"/>
      <c r="M88" s="229"/>
      <c r="N88" s="229"/>
      <c r="O88" s="229"/>
      <c r="P88" s="229"/>
      <c r="Q88" s="229"/>
      <c r="R88" s="229"/>
      <c r="S88" s="229"/>
      <c r="T88" s="22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70" t="s">
        <v>57</v>
      </c>
      <c r="W7" s="271"/>
      <c r="X7" s="271"/>
      <c r="Y7" s="271"/>
      <c r="Z7" s="271"/>
      <c r="AA7" s="271"/>
      <c r="AB7" s="271"/>
      <c r="AC7" s="271"/>
      <c r="AD7" s="272"/>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1"/>
      <c r="W25" s="262"/>
      <c r="X25" s="262"/>
      <c r="Y25" s="262"/>
      <c r="Z25" s="262"/>
      <c r="AA25" s="262"/>
      <c r="AB25" s="262"/>
      <c r="AC25" s="262"/>
      <c r="AD25" s="263"/>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1"/>
      <c r="W26" s="262"/>
      <c r="X26" s="262"/>
      <c r="Y26" s="262"/>
      <c r="Z26" s="262"/>
      <c r="AA26" s="262"/>
      <c r="AB26" s="262"/>
      <c r="AC26" s="262"/>
      <c r="AD26" s="263"/>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1"/>
      <c r="W27" s="262"/>
      <c r="X27" s="262"/>
      <c r="Y27" s="262"/>
      <c r="Z27" s="262"/>
      <c r="AA27" s="262"/>
      <c r="AB27" s="262"/>
      <c r="AC27" s="262"/>
      <c r="AD27" s="263"/>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1"/>
      <c r="W28" s="262"/>
      <c r="X28" s="262"/>
      <c r="Y28" s="262"/>
      <c r="Z28" s="262"/>
      <c r="AA28" s="262"/>
      <c r="AB28" s="262"/>
      <c r="AC28" s="262"/>
      <c r="AD28" s="263"/>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1"/>
      <c r="W29" s="262"/>
      <c r="X29" s="262"/>
      <c r="Y29" s="262"/>
      <c r="Z29" s="262"/>
      <c r="AA29" s="262"/>
      <c r="AB29" s="262"/>
      <c r="AC29" s="262"/>
      <c r="AD29" s="263"/>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1" t="s">
        <v>60</v>
      </c>
      <c r="W35" s="262"/>
      <c r="X35" s="262"/>
      <c r="Y35" s="262"/>
      <c r="Z35" s="262"/>
      <c r="AA35" s="262"/>
      <c r="AB35" s="262"/>
      <c r="AC35" s="262"/>
      <c r="AD35" s="263"/>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1" t="s">
        <v>57</v>
      </c>
      <c r="W7" s="262"/>
      <c r="X7" s="262"/>
      <c r="Y7" s="262"/>
      <c r="Z7" s="262"/>
      <c r="AA7" s="262"/>
      <c r="AB7" s="262"/>
      <c r="AC7" s="262"/>
      <c r="AD7" s="263"/>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1"/>
      <c r="W25" s="262"/>
      <c r="X25" s="262"/>
      <c r="Y25" s="262"/>
      <c r="Z25" s="262"/>
      <c r="AA25" s="262"/>
      <c r="AB25" s="262"/>
      <c r="AC25" s="262"/>
      <c r="AD25" s="263"/>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1"/>
      <c r="W26" s="262"/>
      <c r="X26" s="262"/>
      <c r="Y26" s="262"/>
      <c r="Z26" s="262"/>
      <c r="AA26" s="262"/>
      <c r="AB26" s="262"/>
      <c r="AC26" s="262"/>
      <c r="AD26" s="263"/>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1"/>
      <c r="W27" s="262"/>
      <c r="X27" s="262"/>
      <c r="Y27" s="262"/>
      <c r="Z27" s="262"/>
      <c r="AA27" s="262"/>
      <c r="AB27" s="262"/>
      <c r="AC27" s="262"/>
      <c r="AD27" s="263"/>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1"/>
      <c r="W28" s="262"/>
      <c r="X28" s="262"/>
      <c r="Y28" s="262"/>
      <c r="Z28" s="262"/>
      <c r="AA28" s="262"/>
      <c r="AB28" s="262"/>
      <c r="AC28" s="262"/>
      <c r="AD28" s="263"/>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1"/>
      <c r="W29" s="262"/>
      <c r="X29" s="262"/>
      <c r="Y29" s="262"/>
      <c r="Z29" s="262"/>
      <c r="AA29" s="262"/>
      <c r="AB29" s="262"/>
      <c r="AC29" s="262"/>
      <c r="AD29" s="263"/>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1" t="s">
        <v>60</v>
      </c>
      <c r="W35" s="262"/>
      <c r="X35" s="262"/>
      <c r="Y35" s="262"/>
      <c r="Z35" s="262"/>
      <c r="AA35" s="262"/>
      <c r="AB35" s="262"/>
      <c r="AC35" s="262"/>
      <c r="AD35" s="263"/>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tabSelected="1" zoomScale="130" zoomScaleNormal="130" workbookViewId="0">
      <pane ySplit="3" topLeftCell="A59" activePane="bottomLeft" state="frozen"/>
      <selection pane="bottomLeft" activeCell="G70" sqref="G70"/>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79" t="s">
        <v>102</v>
      </c>
      <c r="C2" s="279"/>
      <c r="D2" s="279"/>
      <c r="E2" s="279"/>
      <c r="F2" s="279"/>
      <c r="G2" s="279"/>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8"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75"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ht="30" x14ac:dyDescent="0.25">
      <c r="B62" s="170">
        <v>44256</v>
      </c>
      <c r="C62" s="171">
        <f t="shared" si="0"/>
        <v>10</v>
      </c>
      <c r="D62" s="172" t="s">
        <v>39</v>
      </c>
      <c r="E62" s="173"/>
      <c r="F62" s="174">
        <v>1.0416666666666666E-2</v>
      </c>
      <c r="G62" s="155" t="s">
        <v>130</v>
      </c>
    </row>
    <row r="63" spans="2:7" ht="60" x14ac:dyDescent="0.25">
      <c r="B63" s="170">
        <v>44258</v>
      </c>
      <c r="C63" s="171">
        <f t="shared" si="0"/>
        <v>10</v>
      </c>
      <c r="D63" s="172" t="s">
        <v>37</v>
      </c>
      <c r="E63" s="173" t="s">
        <v>66</v>
      </c>
      <c r="F63" s="174">
        <v>1.7361111111111112E-2</v>
      </c>
      <c r="G63" s="155" t="s">
        <v>131</v>
      </c>
    </row>
    <row r="64" spans="2:7" ht="45"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x14ac:dyDescent="0.25">
      <c r="B68" s="170"/>
      <c r="C68" s="171">
        <f t="shared" si="0"/>
        <v>0</v>
      </c>
      <c r="D68" s="172"/>
      <c r="E68" s="173"/>
      <c r="F68" s="174"/>
      <c r="G68" s="155"/>
    </row>
    <row r="69" spans="2:7" x14ac:dyDescent="0.25">
      <c r="B69" s="170"/>
      <c r="C69" s="171">
        <f t="shared" si="0"/>
        <v>0</v>
      </c>
      <c r="D69" s="172"/>
      <c r="E69" s="173"/>
      <c r="F69" s="174"/>
      <c r="G69" s="155"/>
    </row>
    <row r="70" spans="2:7" x14ac:dyDescent="0.25">
      <c r="B70" s="170"/>
      <c r="C70" s="171">
        <f t="shared" si="0"/>
        <v>0</v>
      </c>
      <c r="D70" s="172"/>
      <c r="E70" s="173"/>
      <c r="F70" s="174"/>
      <c r="G70" s="155"/>
    </row>
    <row r="71" spans="2:7" x14ac:dyDescent="0.25">
      <c r="B71" s="170"/>
      <c r="C71" s="171">
        <f t="shared" si="0"/>
        <v>0</v>
      </c>
      <c r="D71" s="172"/>
      <c r="E71" s="173"/>
      <c r="F71" s="174"/>
      <c r="G71" s="155"/>
    </row>
    <row r="72" spans="2:7" x14ac:dyDescent="0.25">
      <c r="B72" s="170"/>
      <c r="C72" s="171">
        <f t="shared" si="0"/>
        <v>0</v>
      </c>
      <c r="D72" s="172"/>
      <c r="E72" s="173"/>
      <c r="F72" s="174"/>
      <c r="G72" s="155"/>
    </row>
    <row r="73" spans="2:7" x14ac:dyDescent="0.25">
      <c r="B73" s="170"/>
      <c r="C73" s="171">
        <f t="shared" si="0"/>
        <v>0</v>
      </c>
      <c r="D73" s="172"/>
      <c r="E73" s="173"/>
      <c r="F73" s="174"/>
      <c r="G73" s="155"/>
    </row>
    <row r="74" spans="2:7" x14ac:dyDescent="0.25">
      <c r="B74" s="170"/>
      <c r="C74" s="171">
        <f t="shared" si="0"/>
        <v>0</v>
      </c>
      <c r="D74" s="172"/>
      <c r="E74" s="173"/>
      <c r="F74" s="174"/>
      <c r="G74" s="155"/>
    </row>
    <row r="75" spans="2:7" x14ac:dyDescent="0.25">
      <c r="B75" s="170"/>
      <c r="C75" s="171">
        <f t="shared" si="0"/>
        <v>0</v>
      </c>
      <c r="D75" s="172"/>
      <c r="E75" s="173"/>
      <c r="F75" s="174"/>
      <c r="G75" s="155"/>
    </row>
    <row r="76" spans="2:7" x14ac:dyDescent="0.25">
      <c r="B76" s="170"/>
      <c r="C76" s="171">
        <f t="shared" si="0"/>
        <v>0</v>
      </c>
      <c r="D76" s="172"/>
      <c r="E76" s="173"/>
      <c r="F76" s="174"/>
      <c r="G76" s="155"/>
    </row>
    <row r="77" spans="2:7" x14ac:dyDescent="0.25">
      <c r="B77" s="170"/>
      <c r="C77" s="171">
        <f t="shared" si="0"/>
        <v>0</v>
      </c>
      <c r="D77" s="172"/>
      <c r="E77" s="173"/>
      <c r="F77" s="174"/>
      <c r="G77" s="155"/>
    </row>
    <row r="78" spans="2:7" x14ac:dyDescent="0.25">
      <c r="B78" s="170"/>
      <c r="C78" s="171">
        <f t="shared" si="0"/>
        <v>0</v>
      </c>
      <c r="D78" s="172"/>
      <c r="E78" s="173"/>
      <c r="F78" s="174"/>
      <c r="G78" s="155"/>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ht="15.75" thickBot="1" x14ac:dyDescent="0.3">
      <c r="B118" s="176"/>
      <c r="C118" s="177">
        <f t="shared" si="0"/>
        <v>0</v>
      </c>
      <c r="D118" s="178"/>
      <c r="E118" s="179"/>
      <c r="F118" s="180"/>
      <c r="G118" s="188"/>
    </row>
    <row r="119" spans="2:7" x14ac:dyDescent="0.25">
      <c r="F119" s="181"/>
    </row>
    <row r="121" spans="2:7" ht="15.75" thickBot="1" x14ac:dyDescent="0.3">
      <c r="B121" s="160" t="s">
        <v>84</v>
      </c>
      <c r="F121" s="181"/>
    </row>
    <row r="122" spans="2:7" x14ac:dyDescent="0.25">
      <c r="B122" s="182" t="s">
        <v>82</v>
      </c>
      <c r="C122" s="183">
        <v>10</v>
      </c>
    </row>
    <row r="123" spans="2:7" ht="15.75" thickBot="1" x14ac:dyDescent="0.3">
      <c r="B123" s="184" t="s">
        <v>83</v>
      </c>
      <c r="C123" s="185">
        <f>SUMIF(C4:C118,C122,F4:F118)</f>
        <v>0.18402777777777776</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2021-02-19T19:38:21Z</cp:lastPrinted>
  <dcterms:created xsi:type="dcterms:W3CDTF">2015-01-22T08:10:30Z</dcterms:created>
  <dcterms:modified xsi:type="dcterms:W3CDTF">2021-03-03T09:36:46Z</dcterms:modified>
</cp:coreProperties>
</file>