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83" i="6" l="1"/>
  <c r="C82" i="6"/>
  <c r="C85" i="6" l="1"/>
  <c r="C81"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7" i="6"/>
  <c r="C78" i="6"/>
  <c r="C79" i="6"/>
  <c r="C80" i="6"/>
  <c r="C84"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6"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<sst xmlns="http://schemas.openxmlformats.org/spreadsheetml/2006/main" count="301" uniqueCount="159">
  <si>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</si>
  <si>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</si>
  <si>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</si>
  <si>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</si>
  <si>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</si>
  <si>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</si>
  <si>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</si>
  <si>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</si>
  <si>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</si>
  <si>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</si>
  <si>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</si>
  <si>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</si>
  <si>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</si>
  <si>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</si>
  <si>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</si>
  <si>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</si>
  <si>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</si>
  <si>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</si>
  <si>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</si>
  <si>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</si>
  <si>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</si>
  <si>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</si>
  <si>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</si>
  <si>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</si>
  <si>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</si>
  <si>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</si>
  <si>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</si>
  <si>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</si>
  <si>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</si>
  <si>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</si>
  <si>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</si>
  <si>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</si>
  <si>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</si>
  <si>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</si>
  <si>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</si>
  <si>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</si>
  <si>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</si>
  <si>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</si>
  <si>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</si>
  <si>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</si>
  <si>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</si>
  <si>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</si>
  <si>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</si>
  <si>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</si>
  <si>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</si>
  <si>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</si>
  <si>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</si>
  <si>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</si>
  <si>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</si>
  <si>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</si>
  <si>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</si>
  <si>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</si>
  <si>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</si>
  <si>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</si>
  <si>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</si>
  <si>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</si>
  <si>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</si>
  <si>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</si>
  <si>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</si>
  <si>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</si>
  <si>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</si>
  <si>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</si>
  <si>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</si>
  <si>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</si>
  <si>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</si>
  <si>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</si>
  <si>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</si>
  <si>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</si>
  <si>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</si>
  <si>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</si>
  <si>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</si>
  <si>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</si>
  <si>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</si>
  <si>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</si>
  <si>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</si>
  <si>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</si>
  <si>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</si>
  <si>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</si>
  <si>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</si>
  <si>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</si>
  <si>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</si>
  <si>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</si>
  <si>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</si>
  <si>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</si>
  <si>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</si>
  <si>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</si>
  <si>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</si>
  <si>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</si>
  <si>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</si>
  <si>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</si>
  <si>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</si>
  <si>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</si>
  <si>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</si>
  <si>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</si>
  <si>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</si>
  <si>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</si>
  <si>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</si>
  <si>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</si>
  <si>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</si>
  <si>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</si>
  <si>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</si>
  <si>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</si>
  <si>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</si>
  <si>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</si>
  <si>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</si>
  <si>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</si>
  <si>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</si>
  <si>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</si>
  <si>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</si>
  <si>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</si>
  <si>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</si>
  <si>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</si>
  <si>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</si>
  <si>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</si>
  <si>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</si>
  <si>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</si>
  <si>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</si>
  <si>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</si>
  <si>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</si>
  <si>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</si>
  <si>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</si>
  <si>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</si>
  <si>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</si>
  <si>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</si>
  <si>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</si>
  <si>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</si>
  <si>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</si>
  <si>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</si>
  <si>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</si>
  <si>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</si>
  <si>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</si>
  <si>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</si>
  <si>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</si>
  <si>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</si>
  <si>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</si>
  <si>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</si>
  <si>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</si>
  <si>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</si>
  <si>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</si>
  <si>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</si>
  <si>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</si>
  <si>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</si>
  <si>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</si>
  <si>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</si>
  <si>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</si>
  <si>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</si>
  <si>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</si>
  <si>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</si>
  <si>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</si>
  <si>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</si>
  <si>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</si>
  <si>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</si>
  <si>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</si>
  <si>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</si>
  <si>
    <t>implémentation de la requête de recherche par mot-clé
liaison de l'action du bouton dans le redirecteur</t>
  </si>
  <si>
    <t>mise en place de la requête pour trouver tous les objets loués avec délai dépassé
liaison de la requête sur le redirecteur</t>
  </si>
  <si>
    <t>mise en place du formulaire pour le choix de pdf voulu
liaison des boutons souhaités sur le redirecteur</t>
  </si>
  <si>
    <t xml:space="preserve"> 1:00</t>
  </si>
  <si>
    <t>recherche sur l'enregistrement automatique de PDF avec le 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</si>
</sst>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6">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1.5902777777777775</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0.30902777777777779</v>
      </c>
      <c r="O6" s="12"/>
      <c r="P6" s="13">
        <f>SUMIF($C$11:$C$10003,$C12,P$11:P$10003)</f>
        <v>2.0833333333333332E-2</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SUMIFS(Journal!$F$5:$F$9356,Journal!$C$5:$C$9356,D$8,Journal!$D$5:$D$9356,$B11)</f>
        <v>4.1666666666666664E-2</v>
      </c>
      <c r="E12" s="22"/>
      <c r="F12" s="21"/>
      <c r="G12" s="22"/>
      <c r="H12" s="21">
        <f>SUMIFS(Journal!$F$5:$F$9356,Journal!$C$5:$C$9356,H$8,Journal!$D$5:$D$9356,$B11)</f>
        <v>0</v>
      </c>
      <c r="I12" s="23"/>
      <c r="J12" s="21">
        <f>SUMIFS(Journal!$F$5:$F$9356,Journal!$C$5:$C$9356,J$8,Journal!$D$5:$D$9356,$B11)</f>
        <v>0</v>
      </c>
      <c r="K12" s="23"/>
      <c r="L12" s="21">
        <f>SUMIFS(Journal!$F$5:$F$9356,Journal!$C$5:$C$9356,L$8,Journal!$D$5:$D$9356,$B11)</f>
        <v>0</v>
      </c>
      <c r="M12" s="22"/>
      <c r="N12" s="21">
        <f>SUMIFS(Journal!$F$5:$F$9356,Journal!$C$5:$C$9356,N$8,Journal!$D$5:$D$9356,$B11)</f>
        <v>0</v>
      </c>
      <c r="O12" s="22"/>
      <c r="P12" s="21">
        <f>SUMIFS(Journal!$F$5:$F$9356,Journal!$C$5:$C$9356,P$8,Journal!$D$5:$D$9356,$B11)</f>
        <v>0</v>
      </c>
      <c r="Q12" s="22"/>
      <c r="R12" s="21">
        <f>SUMIFS(Journal!$F$5:$F$9356,Journal!$C$5:$C$9356,R$8,Journal!$D$5:$D$9356,$B11)</f>
        <v>0</v>
      </c>
      <c r="S12" s="22"/>
      <c r="T12" s="21">
        <f>SUMIFS(Journal!$F$5:$F$9356,Journal!$C$5:$C$9356,T$8,Journal!$D$5:$D$9356,$B11)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SUMIFS(Journal!$F$5:$F$9356,Journal!$C$5:$C$9356,D$8,Journal!$D$5:$D$9356,$B13)</f>
        <v>9.375E-2</v>
      </c>
      <c r="E14" s="22"/>
      <c r="F14" s="21">
        <f>SUMIFS(Journal!$F$5:$F$9356,Journal!$C$5:$C$9356,F$8,Journal!$D$5:$D$9356,$B13)</f>
        <v>0</v>
      </c>
      <c r="G14" s="22"/>
      <c r="H14" s="21">
        <f>SUMIFS(Journal!$F$5:$F$9356,Journal!$C$5:$C$9356,H$8,Journal!$D$5:$D$9356,$B13)</f>
        <v>0</v>
      </c>
      <c r="I14" s="23"/>
      <c r="J14" s="21">
        <f>SUMIFS(Journal!$F$5:$F$9356,Journal!$C$5:$C$9356,J$8,Journal!$D$5:$D$9356,$B13)</f>
        <v>0</v>
      </c>
      <c r="K14" s="23"/>
      <c r="L14" s="21">
        <f>SUMIFS(Journal!$F$5:$F$9356,Journal!$C$5:$C$9356,L$8,Journal!$D$5:$D$9356,$B13)</f>
        <v>0</v>
      </c>
      <c r="M14" s="22"/>
      <c r="N14" s="21">
        <f>SUMIFS(Journal!$F$5:$F$9356,Journal!$C$5:$C$9356,N$8,Journal!$D$5:$D$9356,$B13)</f>
        <v>0</v>
      </c>
      <c r="O14" s="22"/>
      <c r="P14" s="21">
        <f>SUMIFS(Journal!$F$5:$F$9356,Journal!$C$5:$C$9356,P$8,Journal!$D$5:$D$9356,$B13)</f>
        <v>0</v>
      </c>
      <c r="Q14" s="22"/>
      <c r="R14" s="21">
        <f>SUMIFS(Journal!$F$5:$F$9356,Journal!$C$5:$C$9356,R$8,Journal!$D$5:$D$9356,$B13)</f>
        <v>0</v>
      </c>
      <c r="S14" s="22"/>
      <c r="T14" s="21">
        <f>SUMIFS(Journal!$F$5:$F$9356,Journal!$C$5:$C$9356,T$8,Journal!$D$5:$D$9356,$B13)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SUMIFS(Journal!$F$5:$F$9356,Journal!$C$5:$C$9356,D$8,Journal!$D$5:$D$9356,$B15)</f>
        <v>2.0833333333333332E-2</v>
      </c>
      <c r="E16" s="22"/>
      <c r="F16" s="21">
        <f>SUMIFS(Journal!$F$5:$F$9356,Journal!$C$5:$C$9356,F$8,Journal!$D$5:$D$9356,$B15)</f>
        <v>0</v>
      </c>
      <c r="G16" s="22"/>
      <c r="H16" s="21">
        <f>SUMIFS(Journal!$F$5:$F$9356,Journal!$C$5:$C$9356,H$8,Journal!$D$5:$D$9356,$B15)</f>
        <v>0</v>
      </c>
      <c r="I16" s="23"/>
      <c r="J16" s="21">
        <f>SUMIFS(Journal!$F$5:$F$9356,Journal!$C$5:$C$9356,J$8,Journal!$D$5:$D$9356,$B15)</f>
        <v>0</v>
      </c>
      <c r="K16" s="23"/>
      <c r="L16" s="21">
        <f>SUMIFS(Journal!$F$5:$F$9356,Journal!$C$5:$C$9356,L$8,Journal!$D$5:$D$9356,$B15)</f>
        <v>0</v>
      </c>
      <c r="M16" s="22"/>
      <c r="N16" s="21">
        <f>SUMIFS(Journal!$F$5:$F$9356,Journal!$C$5:$C$9356,N$8,Journal!$D$5:$D$9356,$B15)</f>
        <v>0</v>
      </c>
      <c r="O16" s="22"/>
      <c r="P16" s="21">
        <f>SUMIFS(Journal!$F$5:$F$9356,Journal!$C$5:$C$9356,P$8,Journal!$D$5:$D$9356,$B15)</f>
        <v>0</v>
      </c>
      <c r="Q16" s="22"/>
      <c r="R16" s="21">
        <f>SUMIFS(Journal!$F$5:$F$9356,Journal!$C$5:$C$9356,R$8,Journal!$D$5:$D$9356,$B15)</f>
        <v>0</v>
      </c>
      <c r="S16" s="22"/>
      <c r="T16" s="21">
        <f>SUMIFS(Journal!$F$5:$F$9356,Journal!$C$5:$C$9356,T$8,Journal!$D$5:$D$9356,$B15)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SUMIFS(Journal!$F$5:$F$9356,Journal!$C$5:$C$9356,D$8,Journal!$D$5:$D$9356,$B17)</f>
        <v>2.0833333333333332E-2</v>
      </c>
      <c r="E18" s="22"/>
      <c r="F18" s="21">
        <f>SUMIFS(Journal!$F$5:$F$9356,Journal!$C$5:$C$9356,F$8,Journal!$D$5:$D$9356,$B17)</f>
        <v>0</v>
      </c>
      <c r="G18" s="23"/>
      <c r="H18" s="21">
        <f>SUMIFS(Journal!$F$5:$F$9356,Journal!$C$5:$C$9356,H$8,Journal!$D$5:$D$9356,$B17)</f>
        <v>0</v>
      </c>
      <c r="I18" s="23"/>
      <c r="J18" s="21">
        <f>SUMIFS(Journal!$F$5:$F$9356,Journal!$C$5:$C$9356,J$8,Journal!$D$5:$D$9356,$B17)</f>
        <v>0</v>
      </c>
      <c r="K18" s="22"/>
      <c r="L18" s="21">
        <f>SUMIFS(Journal!$F$5:$F$9356,Journal!$C$5:$C$9356,L$8,Journal!$D$5:$D$9356,$B17)</f>
        <v>0</v>
      </c>
      <c r="M18" s="22"/>
      <c r="N18" s="21">
        <f>SUMIFS(Journal!$F$5:$F$9356,Journal!$C$5:$C$9356,N$8,Journal!$D$5:$D$9356,$B17)</f>
        <v>0</v>
      </c>
      <c r="O18" s="22"/>
      <c r="P18" s="21">
        <f>SUMIFS(Journal!$F$5:$F$9356,Journal!$C$5:$C$9356,P$8,Journal!$D$5:$D$9356,$B17)</f>
        <v>0</v>
      </c>
      <c r="Q18" s="22"/>
      <c r="R18" s="21">
        <f>SUMIFS(Journal!$F$5:$F$9356,Journal!$C$5:$C$9356,R$8,Journal!$D$5:$D$9356,$B17)</f>
        <v>0</v>
      </c>
      <c r="S18" s="22"/>
      <c r="T18" s="21">
        <f>SUMIFS(Journal!$F$5:$F$9356,Journal!$C$5:$C$9356,T$8,Journal!$D$5:$D$9356,$B17)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SUMIFS(Journal!$F$5:$F$9356,Journal!$C$5:$C$9356,D$8,Journal!$D$5:$D$9356,$B19)</f>
        <v>2.0833333333333332E-2</v>
      </c>
      <c r="E20" s="22"/>
      <c r="F20" s="21">
        <f>SUMIFS(Journal!$F$5:$F$9356,Journal!$C$5:$C$9356,F$8,Journal!$D$5:$D$9356,$B19)</f>
        <v>0</v>
      </c>
      <c r="G20" s="23"/>
      <c r="H20" s="21">
        <f>SUMIFS(Journal!$F$5:$F$9356,Journal!$C$5:$C$9356,H$8,Journal!$D$5:$D$9356,$B19)</f>
        <v>0</v>
      </c>
      <c r="I20" s="23"/>
      <c r="J20" s="21">
        <f>SUMIFS(Journal!$F$5:$F$9356,Journal!$C$5:$C$9356,J$8,Journal!$D$5:$D$9356,$B19)</f>
        <v>0</v>
      </c>
      <c r="K20" s="22"/>
      <c r="L20" s="21">
        <f>SUMIFS(Journal!$F$5:$F$9356,Journal!$C$5:$C$9356,L$8,Journal!$D$5:$D$9356,$B19)</f>
        <v>0</v>
      </c>
      <c r="M20" s="22"/>
      <c r="N20" s="21">
        <f>SUMIFS(Journal!$F$5:$F$9356,Journal!$C$5:$C$9356,N$8,Journal!$D$5:$D$9356,$B19)</f>
        <v>0</v>
      </c>
      <c r="O20" s="22"/>
      <c r="P20" s="21">
        <f>SUMIFS(Journal!$F$5:$F$9356,Journal!$C$5:$C$9356,P$8,Journal!$D$5:$D$9356,$B19)</f>
        <v>0</v>
      </c>
      <c r="Q20" s="22"/>
      <c r="R20" s="21">
        <f>SUMIFS(Journal!$F$5:$F$9356,Journal!$C$5:$C$9356,R$8,Journal!$D$5:$D$9356,$B19)</f>
        <v>0</v>
      </c>
      <c r="S20" s="22"/>
      <c r="T20" s="21">
        <f>SUMIFS(Journal!$F$5:$F$9356,Journal!$C$5:$C$9356,T$8,Journal!$D$5:$D$9356,$B19)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SUMIFS(Journal!$F$5:$F$9356,Journal!$C$5:$C$9356,D$8,Journal!$D$5:$D$9356,$B21)</f>
        <v>0</v>
      </c>
      <c r="E22" s="22"/>
      <c r="F22" s="21">
        <f>SUMIFS(Journal!$F$5:$F$9356,Journal!$C$5:$C$9356,F$8,Journal!$D$5:$D$9356,$B21)</f>
        <v>0</v>
      </c>
      <c r="G22" s="23"/>
      <c r="H22" s="21">
        <f>SUMIFS(Journal!$F$5:$F$9356,Journal!$C$5:$C$9356,H$8,Journal!$D$5:$D$9356,$B21)</f>
        <v>1.7361111111111112E-2</v>
      </c>
      <c r="I22" s="23"/>
      <c r="J22" s="21">
        <f>SUMIFS(Journal!$F$5:$F$9356,Journal!$C$5:$C$9356,J$8,Journal!$D$5:$D$9356,$B21)</f>
        <v>0</v>
      </c>
      <c r="K22" s="22"/>
      <c r="L22" s="21">
        <f>SUMIFS(Journal!$F$5:$F$9356,Journal!$C$5:$C$9356,L$8,Journal!$D$5:$D$9356,$B21)</f>
        <v>0</v>
      </c>
      <c r="M22" s="22"/>
      <c r="N22" s="21">
        <f>SUMIFS(Journal!$F$5:$F$9356,Journal!$C$5:$C$9356,N$8,Journal!$D$5:$D$9356,$B21)</f>
        <v>0</v>
      </c>
      <c r="O22" s="22"/>
      <c r="P22" s="21">
        <f>SUMIFS(Journal!$F$5:$F$9356,Journal!$C$5:$C$9356,P$8,Journal!$D$5:$D$9356,$B21)</f>
        <v>0</v>
      </c>
      <c r="Q22" s="22"/>
      <c r="R22" s="21">
        <f>SUMIFS(Journal!$F$5:$F$9356,Journal!$C$5:$C$9356,R$8,Journal!$D$5:$D$9356,$B21)</f>
        <v>0</v>
      </c>
      <c r="S22" s="22"/>
      <c r="T22" s="21">
        <f>SUMIFS(Journal!$F$5:$F$9356,Journal!$C$5:$C$9356,T$8,Journal!$D$5:$D$9356,$B21)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SUMIFS(Journal!$F$5:$F$9356,Journal!$C$5:$C$9356,D$8,Journal!$D$5:$D$9356,$B25)</f>
        <v>1.3888888888888888E-2</v>
      </c>
      <c r="E26" s="21">
        <f>SUMIFS(Journal!$F$5:$F$9356,Journal!$C$5:$C$9356,E$8,Journal!$D$5:$D$9356,$B25)</f>
        <v>0</v>
      </c>
      <c r="F26" s="21">
        <f>SUMIFS(Journal!$F$5:$F$9356,Journal!$C$5:$C$9356,F$8,Journal!$D$5:$D$9356,$B25)</f>
        <v>0.10416666666666666</v>
      </c>
      <c r="G26" s="21">
        <f>SUMIFS(Journal!$F$5:$F$9356,Journal!$C$5:$C$9356,G$8,Journal!$D$5:$D$9356,$B25)</f>
        <v>0</v>
      </c>
      <c r="H26" s="21">
        <f>SUMIFS(Journal!$F$5:$F$9356,Journal!$C$5:$C$9356,H$8,Journal!$D$5:$D$9356,$B25)</f>
        <v>0</v>
      </c>
      <c r="I26" s="21">
        <f>SUMIFS(Journal!$F$5:$F$9356,Journal!$C$5:$C$9356,I$8,Journal!$D$5:$D$9356,$B25)</f>
        <v>0</v>
      </c>
      <c r="J26" s="21">
        <f>SUMIFS(Journal!$F$5:$F$9356,Journal!$C$5:$C$9356,J$8,Journal!$D$5:$D$9356,$B25)</f>
        <v>0</v>
      </c>
      <c r="K26" s="21">
        <f>SUMIFS(Journal!$F$5:$F$9356,Journal!$C$5:$C$9356,K$8,Journal!$D$5:$D$9356,$B25)</f>
        <v>0</v>
      </c>
      <c r="L26" s="21">
        <f>SUMIFS(Journal!$F$5:$F$9356,Journal!$C$5:$C$9356,L$8,Journal!$D$5:$D$9356,$B25)</f>
        <v>0</v>
      </c>
      <c r="M26" s="21">
        <f>SUMIFS(Journal!$F$5:$F$9356,Journal!$C$5:$C$9356,M$8,Journal!$D$5:$D$9356,$B25)</f>
        <v>0</v>
      </c>
      <c r="N26" s="21">
        <f>SUMIFS(Journal!$F$5:$F$9356,Journal!$C$5:$C$9356,N$8,Journal!$D$5:$D$9356,$B25)</f>
        <v>0</v>
      </c>
      <c r="O26" s="21">
        <f>SUMIFS(Journal!$F$5:$F$9356,Journal!$C$5:$C$9356,O$8,Journal!$D$5:$D$9356,$B25)</f>
        <v>0</v>
      </c>
      <c r="P26" s="21">
        <f>SUMIFS(Journal!$F$5:$F$9356,Journal!$C$5:$C$9356,P$8,Journal!$D$5:$D$9356,$B25)</f>
        <v>0</v>
      </c>
      <c r="Q26" s="21">
        <f>SUMIFS(Journal!$F$5:$F$9356,Journal!$C$5:$C$9356,Q$8,Journal!$D$5:$D$9356,$B25)</f>
        <v>0</v>
      </c>
      <c r="R26" s="21">
        <f>SUMIFS(Journal!$F$5:$F$9356,Journal!$C$5:$C$9356,R$8,Journal!$D$5:$D$9356,$B25)</f>
        <v>0</v>
      </c>
      <c r="S26" s="21">
        <f>SUMIFS(Journal!$F$5:$F$9356,Journal!$C$5:$C$9356,S$8,Journal!$D$5:$D$9356,$B25)</f>
        <v>0</v>
      </c>
      <c r="T26" s="21">
        <f>SUMIFS(Journal!$F$5:$F$9356,Journal!$C$5:$C$9356,T$8,Journal!$D$5:$D$9356,$B25)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SUMIFS(Journal!$F$5:$F$9356,Journal!$C$5:$C$9356,D$8,Journal!$D$5:$D$9356,$B27)</f>
        <v>5.2083333333333336E-2</v>
      </c>
      <c r="E28" s="21">
        <f>SUMIFS(Journal!$F$5:$F$9356,Journal!$C$5:$C$9356,E$8,Journal!$D$5:$D$9356,$B27)</f>
        <v>0</v>
      </c>
      <c r="F28" s="21">
        <f>SUMIFS(Journal!$F$5:$F$9356,Journal!$C$5:$C$9356,F$8,Journal!$D$5:$D$9356,$B27)</f>
        <v>3.125E-2</v>
      </c>
      <c r="G28" s="21">
        <f>SUMIFS(Journal!$F$5:$F$9356,Journal!$C$5:$C$9356,G$8,Journal!$D$5:$D$9356,$B27)</f>
        <v>0</v>
      </c>
      <c r="H28" s="21">
        <f>SUMIFS(Journal!$F$5:$F$9356,Journal!$C$5:$C$9356,H$8,Journal!$D$5:$D$9356,$B27)</f>
        <v>0</v>
      </c>
      <c r="I28" s="21">
        <f>SUMIFS(Journal!$F$5:$F$9356,Journal!$C$5:$C$9356,I$8,Journal!$D$5:$D$9356,$B27)</f>
        <v>0</v>
      </c>
      <c r="J28" s="21">
        <f>SUMIFS(Journal!$F$5:$F$9356,Journal!$C$5:$C$9356,J$8,Journal!$D$5:$D$9356,$B27)</f>
        <v>0</v>
      </c>
      <c r="K28" s="21">
        <f>SUMIFS(Journal!$F$5:$F$9356,Journal!$C$5:$C$9356,K$8,Journal!$D$5:$D$9356,$B27)</f>
        <v>0</v>
      </c>
      <c r="L28" s="21">
        <f>SUMIFS(Journal!$F$5:$F$9356,Journal!$C$5:$C$9356,L$8,Journal!$D$5:$D$9356,$B27)</f>
        <v>0</v>
      </c>
      <c r="M28" s="21">
        <f>SUMIFS(Journal!$F$5:$F$9356,Journal!$C$5:$C$9356,M$8,Journal!$D$5:$D$9356,$B27)</f>
        <v>0</v>
      </c>
      <c r="N28" s="21">
        <f>SUMIFS(Journal!$F$5:$F$9356,Journal!$C$5:$C$9356,N$8,Journal!$D$5:$D$9356,$B27)</f>
        <v>0</v>
      </c>
      <c r="O28" s="21">
        <f>SUMIFS(Journal!$F$5:$F$9356,Journal!$C$5:$C$9356,O$8,Journal!$D$5:$D$9356,$B27)</f>
        <v>0</v>
      </c>
      <c r="P28" s="21">
        <f>SUMIFS(Journal!$F$5:$F$9356,Journal!$C$5:$C$9356,P$8,Journal!$D$5:$D$9356,$B27)</f>
        <v>0</v>
      </c>
      <c r="Q28" s="21">
        <f>SUMIFS(Journal!$F$5:$F$9356,Journal!$C$5:$C$9356,Q$8,Journal!$D$5:$D$9356,$B27)</f>
        <v>0</v>
      </c>
      <c r="R28" s="21">
        <f>SUMIFS(Journal!$F$5:$F$9356,Journal!$C$5:$C$9356,R$8,Journal!$D$5:$D$9356,$B27)</f>
        <v>0</v>
      </c>
      <c r="S28" s="21">
        <f>SUMIFS(Journal!$F$5:$F$9356,Journal!$C$5:$C$9356,S$8,Journal!$D$5:$D$9356,$B27)</f>
        <v>0</v>
      </c>
      <c r="T28" s="21">
        <f>SUMIFS(Journal!$F$5:$F$9356,Journal!$C$5:$C$9356,T$8,Journal!$D$5:$D$9356,$B27)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SUMIFS(Journal!$F$5:$F$9356,Journal!$C$5:$C$9356,D$8,Journal!$D$5:$D$9356,$B29)</f>
        <v>0</v>
      </c>
      <c r="E30" s="21">
        <f>SUMIFS(Journal!$F$5:$F$9356,Journal!$C$5:$C$9356,E$8,Journal!$D$5:$D$9356,$B29)</f>
        <v>0</v>
      </c>
      <c r="F30" s="21">
        <f>SUMIFS(Journal!$F$5:$F$9356,Journal!$C$5:$C$9356,F$8,Journal!$D$5:$D$9356,$B29)</f>
        <v>6.25E-2</v>
      </c>
      <c r="G30" s="21">
        <f>SUMIFS(Journal!$F$5:$F$9356,Journal!$C$5:$C$9356,G$8,Journal!$D$5:$D$9356,$B29)</f>
        <v>0</v>
      </c>
      <c r="H30" s="21">
        <f>SUMIFS(Journal!$F$5:$F$9356,Journal!$C$5:$C$9356,H$8,Journal!$D$5:$D$9356,$B29)</f>
        <v>3.472222222222222E-3</v>
      </c>
      <c r="I30" s="21">
        <f>SUMIFS(Journal!$F$5:$F$9356,Journal!$C$5:$C$9356,I$8,Journal!$D$5:$D$9356,$B29)</f>
        <v>0</v>
      </c>
      <c r="J30" s="21">
        <f>SUMIFS(Journal!$F$5:$F$9356,Journal!$C$5:$C$9356,J$8,Journal!$D$5:$D$9356,$B29)</f>
        <v>0</v>
      </c>
      <c r="K30" s="21">
        <f>SUMIFS(Journal!$F$5:$F$9356,Journal!$C$5:$C$9356,K$8,Journal!$D$5:$D$9356,$B29)</f>
        <v>0</v>
      </c>
      <c r="L30" s="21">
        <f>SUMIFS(Journal!$F$5:$F$9356,Journal!$C$5:$C$9356,L$8,Journal!$D$5:$D$9356,$B29)</f>
        <v>0</v>
      </c>
      <c r="M30" s="21">
        <f>SUMIFS(Journal!$F$5:$F$9356,Journal!$C$5:$C$9356,M$8,Journal!$D$5:$D$9356,$B29)</f>
        <v>0</v>
      </c>
      <c r="N30" s="21">
        <f>SUMIFS(Journal!$F$5:$F$9356,Journal!$C$5:$C$9356,N$8,Journal!$D$5:$D$9356,$B29)</f>
        <v>0</v>
      </c>
      <c r="O30" s="21">
        <f>SUMIFS(Journal!$F$5:$F$9356,Journal!$C$5:$C$9356,O$8,Journal!$D$5:$D$9356,$B29)</f>
        <v>0</v>
      </c>
      <c r="P30" s="21">
        <f>SUMIFS(Journal!$F$5:$F$9356,Journal!$C$5:$C$9356,P$8,Journal!$D$5:$D$9356,$B29)</f>
        <v>0</v>
      </c>
      <c r="Q30" s="21">
        <f>SUMIFS(Journal!$F$5:$F$9356,Journal!$C$5:$C$9356,Q$8,Journal!$D$5:$D$9356,$B29)</f>
        <v>0</v>
      </c>
      <c r="R30" s="21">
        <f>SUMIFS(Journal!$F$5:$F$9356,Journal!$C$5:$C$9356,R$8,Journal!$D$5:$D$9356,$B29)</f>
        <v>0</v>
      </c>
      <c r="S30" s="21">
        <f>SUMIFS(Journal!$F$5:$F$9356,Journal!$C$5:$C$9356,S$8,Journal!$D$5:$D$9356,$B29)</f>
        <v>0</v>
      </c>
      <c r="T30" s="21">
        <f>SUMIFS(Journal!$F$5:$F$9356,Journal!$C$5:$C$9356,T$8,Journal!$D$5:$D$9356,$B29)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SUMIFS(Journal!$F$5:$F$9356,Journal!$C$5:$C$9356,D$8,Journal!$D$5:$D$9356,$B31)</f>
        <v>0</v>
      </c>
      <c r="E32" s="21">
        <f>SUMIFS(Journal!$F$5:$F$9356,Journal!$C$5:$C$9356,E$8,Journal!$D$5:$D$9356,$B31)</f>
        <v>0</v>
      </c>
      <c r="F32" s="21">
        <f>SUMIFS(Journal!$F$5:$F$9356,Journal!$C$5:$C$9356,F$8,Journal!$D$5:$D$9356,$B31)</f>
        <v>1.3888888888888888E-2</v>
      </c>
      <c r="G32" s="21">
        <f>SUMIFS(Journal!$F$5:$F$9356,Journal!$C$5:$C$9356,G$8,Journal!$D$5:$D$9356,$B31)</f>
        <v>0</v>
      </c>
      <c r="H32" s="21">
        <f>SUMIFS(Journal!$F$5:$F$9356,Journal!$C$5:$C$9356,H$8,Journal!$D$5:$D$9356,$B31)</f>
        <v>0</v>
      </c>
      <c r="I32" s="21">
        <f>SUMIFS(Journal!$F$5:$F$9356,Journal!$C$5:$C$9356,I$8,Journal!$D$5:$D$9356,$B31)</f>
        <v>0</v>
      </c>
      <c r="J32" s="21">
        <f>SUMIFS(Journal!$F$5:$F$9356,Journal!$C$5:$C$9356,J$8,Journal!$D$5:$D$9356,$B31)</f>
        <v>0</v>
      </c>
      <c r="K32" s="21">
        <f>SUMIFS(Journal!$F$5:$F$9356,Journal!$C$5:$C$9356,K$8,Journal!$D$5:$D$9356,$B31)</f>
        <v>0</v>
      </c>
      <c r="L32" s="21">
        <f>SUMIFS(Journal!$F$5:$F$9356,Journal!$C$5:$C$9356,L$8,Journal!$D$5:$D$9356,$B31)</f>
        <v>0</v>
      </c>
      <c r="M32" s="21">
        <f>SUMIFS(Journal!$F$5:$F$9356,Journal!$C$5:$C$9356,M$8,Journal!$D$5:$D$9356,$B31)</f>
        <v>0</v>
      </c>
      <c r="N32" s="21">
        <f>SUMIFS(Journal!$F$5:$F$9356,Journal!$C$5:$C$9356,N$8,Journal!$D$5:$D$9356,$B31)</f>
        <v>0</v>
      </c>
      <c r="O32" s="21">
        <f>SUMIFS(Journal!$F$5:$F$9356,Journal!$C$5:$C$9356,O$8,Journal!$D$5:$D$9356,$B31)</f>
        <v>0</v>
      </c>
      <c r="P32" s="21">
        <f>SUMIFS(Journal!$F$5:$F$9356,Journal!$C$5:$C$9356,P$8,Journal!$D$5:$D$9356,$B31)</f>
        <v>0</v>
      </c>
      <c r="Q32" s="21">
        <f>SUMIFS(Journal!$F$5:$F$9356,Journal!$C$5:$C$9356,Q$8,Journal!$D$5:$D$9356,$B31)</f>
        <v>0</v>
      </c>
      <c r="R32" s="21">
        <f>SUMIFS(Journal!$F$5:$F$9356,Journal!$C$5:$C$9356,R$8,Journal!$D$5:$D$9356,$B31)</f>
        <v>0</v>
      </c>
      <c r="S32" s="21">
        <f>SUMIFS(Journal!$F$5:$F$9356,Journal!$C$5:$C$9356,S$8,Journal!$D$5:$D$9356,$B31)</f>
        <v>0</v>
      </c>
      <c r="T32" s="21">
        <f>SUMIFS(Journal!$F$5:$F$9356,Journal!$C$5:$C$9356,T$8,Journal!$D$5:$D$9356,$B31)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SUMIFS(Journal!$F$5:$F$9356,Journal!$C$5:$C$9356,D$8,Journal!$D$5:$D$9356,$B33)</f>
        <v>0</v>
      </c>
      <c r="E34" s="21">
        <f>SUMIFS(Journal!$F$5:$F$9356,Journal!$C$5:$C$9356,E$8,Journal!$D$5:$D$9356,$B33)</f>
        <v>0</v>
      </c>
      <c r="F34" s="21">
        <f>SUMIFS(Journal!$F$5:$F$9356,Journal!$C$5:$C$9356,F$8,Journal!$D$5:$D$9356,$B33)</f>
        <v>0</v>
      </c>
      <c r="G34" s="21">
        <f>SUMIFS(Journal!$F$5:$F$9356,Journal!$C$5:$C$9356,G$8,Journal!$D$5:$D$9356,$B33)</f>
        <v>0</v>
      </c>
      <c r="H34" s="21">
        <f>SUMIFS(Journal!$F$5:$F$9356,Journal!$C$5:$C$9356,H$8,Journal!$D$5:$D$9356,$B33)</f>
        <v>6.5972222222222224E-2</v>
      </c>
      <c r="I34" s="21">
        <f>SUMIFS(Journal!$F$5:$F$9356,Journal!$C$5:$C$9356,I$8,Journal!$D$5:$D$9356,$B33)</f>
        <v>0</v>
      </c>
      <c r="J34" s="21">
        <f>SUMIFS(Journal!$F$5:$F$9356,Journal!$C$5:$C$9356,J$8,Journal!$D$5:$D$9356,$B33)</f>
        <v>0</v>
      </c>
      <c r="K34" s="21">
        <f>SUMIFS(Journal!$F$5:$F$9356,Journal!$C$5:$C$9356,K$8,Journal!$D$5:$D$9356,$B33)</f>
        <v>0</v>
      </c>
      <c r="L34" s="21">
        <f>SUMIFS(Journal!$F$5:$F$9356,Journal!$C$5:$C$9356,L$8,Journal!$D$5:$D$9356,$B33)</f>
        <v>0</v>
      </c>
      <c r="M34" s="21">
        <f>SUMIFS(Journal!$F$5:$F$9356,Journal!$C$5:$C$9356,M$8,Journal!$D$5:$D$9356,$B33)</f>
        <v>0</v>
      </c>
      <c r="N34" s="21">
        <f>SUMIFS(Journal!$F$5:$F$9356,Journal!$C$5:$C$9356,N$8,Journal!$D$5:$D$9356,$B33)</f>
        <v>0</v>
      </c>
      <c r="O34" s="21">
        <f>SUMIFS(Journal!$F$5:$F$9356,Journal!$C$5:$C$9356,O$8,Journal!$D$5:$D$9356,$B33)</f>
        <v>0</v>
      </c>
      <c r="P34" s="21">
        <f>SUMIFS(Journal!$F$5:$F$9356,Journal!$C$5:$C$9356,P$8,Journal!$D$5:$D$9356,$B33)</f>
        <v>0</v>
      </c>
      <c r="Q34" s="21">
        <f>SUMIFS(Journal!$F$5:$F$9356,Journal!$C$5:$C$9356,Q$8,Journal!$D$5:$D$9356,$B33)</f>
        <v>0</v>
      </c>
      <c r="R34" s="21">
        <f>SUMIFS(Journal!$F$5:$F$9356,Journal!$C$5:$C$9356,R$8,Journal!$D$5:$D$9356,$B33)</f>
        <v>0</v>
      </c>
      <c r="S34" s="21">
        <f>SUMIFS(Journal!$F$5:$F$9356,Journal!$C$5:$C$9356,S$8,Journal!$D$5:$D$9356,$B33)</f>
        <v>0</v>
      </c>
      <c r="T34" s="21">
        <f>SUMIFS(Journal!$F$5:$F$9356,Journal!$C$5:$C$9356,T$8,Journal!$D$5:$D$9356,$B33)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SUMIFS(Journal!$F$5:$F$9356,Journal!$C$5:$C$9356,D$8,Journal!$D$5:$D$9356,$B35)</f>
        <v>0</v>
      </c>
      <c r="E36" s="21">
        <f>SUMIFS(Journal!$F$5:$F$9356,Journal!$C$5:$C$9356,E$8,Journal!$D$5:$D$9356,$B35)</f>
        <v>0</v>
      </c>
      <c r="F36" s="21">
        <f>SUMIFS(Journal!$F$5:$F$9356,Journal!$C$5:$C$9356,F$8,Journal!$D$5:$D$9356,$B35)</f>
        <v>0</v>
      </c>
      <c r="G36" s="21">
        <f>SUMIFS(Journal!$F$5:$F$9356,Journal!$C$5:$C$9356,G$8,Journal!$D$5:$D$9356,$B35)</f>
        <v>0</v>
      </c>
      <c r="H36" s="21">
        <f>SUMIFS(Journal!$F$5:$F$9356,Journal!$C$5:$C$9356,H$8,Journal!$D$5:$D$9356,$B35)</f>
        <v>0</v>
      </c>
      <c r="I36" s="21">
        <f>SUMIFS(Journal!$F$5:$F$9356,Journal!$C$5:$C$9356,I$8,Journal!$D$5:$D$9356,$B35)</f>
        <v>0</v>
      </c>
      <c r="J36" s="21">
        <f>SUMIFS(Journal!$F$5:$F$9356,Journal!$C$5:$C$9356,J$8,Journal!$D$5:$D$9356,$B35)</f>
        <v>0</v>
      </c>
      <c r="K36" s="21">
        <f>SUMIFS(Journal!$F$5:$F$9356,Journal!$C$5:$C$9356,K$8,Journal!$D$5:$D$9356,$B35)</f>
        <v>0</v>
      </c>
      <c r="L36" s="21">
        <f>SUMIFS(Journal!$F$5:$F$9356,Journal!$C$5:$C$9356,L$8,Journal!$D$5:$D$9356,$B35)</f>
        <v>0</v>
      </c>
      <c r="M36" s="21">
        <f>SUMIFS(Journal!$F$5:$F$9356,Journal!$C$5:$C$9356,M$8,Journal!$D$5:$D$9356,$B35)</f>
        <v>0</v>
      </c>
      <c r="N36" s="21">
        <f>SUMIFS(Journal!$F$5:$F$9356,Journal!$C$5:$C$9356,N$8,Journal!$D$5:$D$9356,$B35)</f>
        <v>0</v>
      </c>
      <c r="O36" s="21">
        <f>SUMIFS(Journal!$F$5:$F$9356,Journal!$C$5:$C$9356,O$8,Journal!$D$5:$D$9356,$B35)</f>
        <v>0</v>
      </c>
      <c r="P36" s="21">
        <f>SUMIFS(Journal!$F$5:$F$9356,Journal!$C$5:$C$9356,P$8,Journal!$D$5:$D$9356,$B35)</f>
        <v>0</v>
      </c>
      <c r="Q36" s="21">
        <f>SUMIFS(Journal!$F$5:$F$9356,Journal!$C$5:$C$9356,Q$8,Journal!$D$5:$D$9356,$B35)</f>
        <v>0</v>
      </c>
      <c r="R36" s="21">
        <f>SUMIFS(Journal!$F$5:$F$9356,Journal!$C$5:$C$9356,R$8,Journal!$D$5:$D$9356,$B35)</f>
        <v>0</v>
      </c>
      <c r="S36" s="21">
        <f>SUMIFS(Journal!$F$5:$F$9356,Journal!$C$5:$C$9356,S$8,Journal!$D$5:$D$9356,$B35)</f>
        <v>0</v>
      </c>
      <c r="T36" s="21">
        <f>SUMIFS(Journal!$F$5:$F$9356,Journal!$C$5:$C$9356,T$8,Journal!$D$5:$D$9356,$B35)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0.52083333333333326</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SUMIFS(Journal!$F$5:$F$9356,Journal!$C$5:$C$9356,D$8,Journal!$D$5:$D$9356,$B39)</f>
        <v>0</v>
      </c>
      <c r="E40" s="21"/>
      <c r="F40" s="21">
        <f>SUMIFS(Journal!$F$5:$F$9356,Journal!$C$5:$C$9356,F$8,Journal!$D$5:$D$9356,$B39)</f>
        <v>1.0416666666666666E-2</v>
      </c>
      <c r="G40" s="21"/>
      <c r="H40" s="21">
        <f>SUMIFS(Journal!$F$5:$F$9356,Journal!$C$5:$C$9356,H$8,Journal!$D$5:$D$9356,$B39)</f>
        <v>6.25E-2</v>
      </c>
      <c r="I40" s="21"/>
      <c r="J40" s="21">
        <f>SUMIFS(Journal!$F$5:$F$9356,Journal!$C$5:$C$9356,J$8,Journal!$D$5:$D$9356,$B39)</f>
        <v>0</v>
      </c>
      <c r="K40" s="21"/>
      <c r="L40" s="21">
        <f>SUMIFS(Journal!$F$5:$F$9356,Journal!$C$5:$C$9356,L$8,Journal!$D$5:$D$9356,$B39)</f>
        <v>0.10416666666666666</v>
      </c>
      <c r="M40" s="21"/>
      <c r="N40" s="21">
        <f>SUMIFS(Journal!$F$5:$F$9356,Journal!$C$5:$C$9356,N$8,Journal!$D$5:$D$9356,$B39)</f>
        <v>0</v>
      </c>
      <c r="O40" s="21"/>
      <c r="P40" s="21">
        <f>SUMIFS(Journal!$F$5:$F$9356,Journal!$C$5:$C$9356,P$8,Journal!$D$5:$D$9356,$B39)</f>
        <v>0</v>
      </c>
      <c r="Q40" s="21"/>
      <c r="R40" s="21">
        <f>SUMIFS(Journal!$F$5:$F$9356,Journal!$C$5:$C$9356,R$8,Journal!$D$5:$D$9356,$B39)</f>
        <v>0</v>
      </c>
      <c r="S40" s="21"/>
      <c r="T40" s="21">
        <f>SUMIFS(Journal!$F$5:$F$9356,Journal!$C$5:$C$9356,T$8,Journal!$D$5:$D$9356,$B39)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SUMIFS(Journal!$F$5:$F$9356,Journal!$C$5:$C$9356,D$8,Journal!$D$5:$D$9356,$B41)</f>
        <v>0</v>
      </c>
      <c r="E42" s="21"/>
      <c r="F42" s="21">
        <f>SUMIFS(Journal!$F$5:$F$9356,Journal!$C$5:$C$9356,F$8,Journal!$D$5:$D$9356,$B41)</f>
        <v>0</v>
      </c>
      <c r="G42" s="21"/>
      <c r="H42" s="21">
        <f>SUMIFS(Journal!$F$5:$F$9356,Journal!$C$5:$C$9356,H$8,Journal!$D$5:$D$9356,$B41)</f>
        <v>1.7361111111111112E-2</v>
      </c>
      <c r="I42" s="21"/>
      <c r="J42" s="21">
        <f>SUMIFS(Journal!$F$5:$F$9356,Journal!$C$5:$C$9356,J$8,Journal!$D$5:$D$9356,$B41)</f>
        <v>0</v>
      </c>
      <c r="K42" s="21"/>
      <c r="L42" s="21">
        <f>SUMIFS(Journal!$F$5:$F$9356,Journal!$C$5:$C$9356,L$8,Journal!$D$5:$D$9356,$B41)</f>
        <v>0</v>
      </c>
      <c r="M42" s="21"/>
      <c r="N42" s="21">
        <f>SUMIFS(Journal!$F$5:$F$9356,Journal!$C$5:$C$9356,N$8,Journal!$D$5:$D$9356,$B41)</f>
        <v>0</v>
      </c>
      <c r="O42" s="21"/>
      <c r="P42" s="21">
        <f>SUMIFS(Journal!$F$5:$F$9356,Journal!$C$5:$C$9356,P$8,Journal!$D$5:$D$9356,$B41)</f>
        <v>0</v>
      </c>
      <c r="Q42" s="21"/>
      <c r="R42" s="21">
        <f>SUMIFS(Journal!$F$5:$F$9356,Journal!$C$5:$C$9356,R$8,Journal!$D$5:$D$9356,$B41)</f>
        <v>0</v>
      </c>
      <c r="S42" s="21"/>
      <c r="T42" s="21">
        <f>SUMIFS(Journal!$F$5:$F$9356,Journal!$C$5:$C$9356,T$8,Journal!$D$5:$D$9356,$B41)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SUMIFS(Journal!$F$5:$F$9356,Journal!$C$5:$C$9356,D$8,Journal!$D$5:$D$9356,$B43)</f>
        <v>0</v>
      </c>
      <c r="E44" s="21"/>
      <c r="F44" s="21">
        <f>SUMIFS(Journal!$F$5:$F$9356,Journal!$C$5:$C$9356,F$8,Journal!$D$5:$D$9356,$B43)</f>
        <v>0</v>
      </c>
      <c r="G44" s="21"/>
      <c r="H44" s="21">
        <f>SUMIFS(Journal!$F$5:$F$9356,Journal!$C$5:$C$9356,H$8,Journal!$D$5:$D$9356,$B43)</f>
        <v>0.14930555555555555</v>
      </c>
      <c r="I44" s="21"/>
      <c r="J44" s="21">
        <f>SUMIFS(Journal!$F$5:$F$9356,Journal!$C$5:$C$9356,J$8,Journal!$D$5:$D$9356,$B43)</f>
        <v>0</v>
      </c>
      <c r="K44" s="21"/>
      <c r="L44" s="21"/>
      <c r="M44" s="21"/>
      <c r="N44" s="21">
        <f>SUMIFS(Journal!$F$5:$F$9356,Journal!$C$5:$C$9356,N$8,Journal!$D$5:$D$9356,$B43)</f>
        <v>0</v>
      </c>
      <c r="O44" s="21"/>
      <c r="P44" s="21">
        <f>SUMIFS(Journal!$F$5:$F$9356,Journal!$C$5:$C$9356,P$8,Journal!$D$5:$D$9356,$B43)</f>
        <v>0</v>
      </c>
      <c r="Q44" s="21"/>
      <c r="R44" s="21">
        <f>SUMIFS(Journal!$F$5:$F$9356,Journal!$C$5:$C$9356,R$8,Journal!$D$5:$D$9356,$B43)</f>
        <v>0</v>
      </c>
      <c r="S44" s="21"/>
      <c r="T44" s="21">
        <f>SUMIFS(Journal!$F$5:$F$9356,Journal!$C$5:$C$9356,T$8,Journal!$D$5:$D$9356,$B43)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SUMIFS(Journal!$F$5:$F$9356,Journal!$C$5:$C$9356,D$8,Journal!$D$5:$D$9356,$B45)</f>
        <v>0</v>
      </c>
      <c r="E46" s="21"/>
      <c r="F46" s="21">
        <f>SUMIFS(Journal!$F$5:$F$9356,Journal!$C$5:$C$9356,F$8,Journal!$D$5:$D$9356,$B45)</f>
        <v>0</v>
      </c>
      <c r="G46" s="21"/>
      <c r="H46" s="21">
        <f>SUMIFS(Journal!$F$5:$F$9356,Journal!$C$5:$C$9356,H$8,Journal!$D$5:$D$9356,$B45)</f>
        <v>0</v>
      </c>
      <c r="I46" s="21"/>
      <c r="J46" s="21">
        <f>SUMIFS(Journal!$F$5:$F$9356,Journal!$C$5:$C$9356,J$8,Journal!$D$5:$D$9356,$B45)</f>
        <v>0</v>
      </c>
      <c r="K46" s="21"/>
      <c r="L46" s="21"/>
      <c r="M46" s="21"/>
      <c r="N46" s="21"/>
      <c r="O46" s="21"/>
      <c r="P46" s="21">
        <f>SUMIFS(Journal!$F$5:$F$9356,Journal!$C$5:$C$9356,P$8,Journal!$D$5:$D$9356,$B45)</f>
        <v>0</v>
      </c>
      <c r="Q46" s="21"/>
      <c r="R46" s="21">
        <f>SUMIFS(Journal!$F$5:$F$9356,Journal!$C$5:$C$9356,R$8,Journal!$D$5:$D$9356,$B45)</f>
        <v>0</v>
      </c>
      <c r="S46" s="21"/>
      <c r="T46" s="21">
        <f>SUMIFS(Journal!$F$5:$F$9356,Journal!$C$5:$C$9356,T$8,Journal!$D$5:$D$9356,$B45)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SUMIFS(Journal!$F$5:$F$9356,Journal!$C$5:$C$9356,D$8,Journal!$D$5:$D$9356,$B47)</f>
        <v>0</v>
      </c>
      <c r="E48" s="21"/>
      <c r="F48" s="21">
        <f>SUMIFS(Journal!$F$5:$F$9356,Journal!$C$5:$C$9356,F$8,Journal!$D$5:$D$9356,$B47)</f>
        <v>0</v>
      </c>
      <c r="G48" s="21"/>
      <c r="H48" s="21">
        <f>SUMIFS(Journal!$F$5:$F$9356,Journal!$C$5:$C$9356,H$8,Journal!$D$5:$D$9356,$B47)</f>
        <v>0</v>
      </c>
      <c r="I48" s="21"/>
      <c r="J48" s="21">
        <f>SUMIFS(Journal!$F$5:$F$9356,Journal!$C$5:$C$9356,J$8,Journal!$D$5:$D$9356,$B47)</f>
        <v>0</v>
      </c>
      <c r="K48" s="21"/>
      <c r="L48" s="21">
        <f>SUMIFS(Journal!$F$5:$F$9356,Journal!$C$5:$C$9356,L$8,Journal!$D$5:$D$9356,$B47)</f>
        <v>5.5555555555555552E-2</v>
      </c>
      <c r="M48" s="21"/>
      <c r="N48" s="21">
        <f>SUMIFS(Journal!$F$5:$F$9356,Journal!$C$5:$C$9356,N$8,Journal!$D$5:$D$9356,$B47)</f>
        <v>0.1111111111111111</v>
      </c>
      <c r="O48" s="21"/>
      <c r="P48" s="21">
        <f>SUMIFS(Journal!$F$5:$F$9356,Journal!$C$5:$C$9356,P$8,Journal!$D$5:$D$9356,$B47)</f>
        <v>0</v>
      </c>
      <c r="Q48" s="21"/>
      <c r="R48" s="21">
        <f>SUMIFS(Journal!$F$5:$F$9356,Journal!$C$5:$C$9356,R$8,Journal!$D$5:$D$9356,$B47)</f>
        <v>0</v>
      </c>
      <c r="S48" s="21"/>
      <c r="T48" s="21">
        <f>SUMIFS(Journal!$F$5:$F$9356,Journal!$C$5:$C$9356,T$8,Journal!$D$5:$D$9356,$B47)</f>
        <v>0</v>
      </c>
      <c r="U48" s="24">
        <f t="shared" si="3"/>
        <v>0.16666666666666666</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SUMIFS(Journal!$F$5:$F$9356,Journal!$C$5:$C$9356,D$8,Journal!$D$5:$D$9356,$B49)</f>
        <v>0</v>
      </c>
      <c r="E50" s="21">
        <f>SUMIFS(Journal!$F$5:$F$9356,Journal!$C$5:$C$9356,E$8,Journal!$D$5:$D$9356,$B49)</f>
        <v>0</v>
      </c>
      <c r="F50" s="21">
        <f>SUMIFS(Journal!$F$5:$F$9356,Journal!$C$5:$C$9356,F$8,Journal!$D$5:$D$9356,$B49)</f>
        <v>0</v>
      </c>
      <c r="G50" s="21">
        <f>SUMIFS(Journal!$F$5:$F$9356,Journal!$C$5:$C$9356,G$8,Journal!$D$5:$D$9356,$B49)</f>
        <v>0</v>
      </c>
      <c r="H50" s="21">
        <f>SUMIFS(Journal!$F$5:$F$9356,Journal!$C$5:$C$9356,H$8,Journal!$D$5:$D$9356,$B49)</f>
        <v>0</v>
      </c>
      <c r="I50" s="21">
        <f>SUMIFS(Journal!$F$5:$F$9356,Journal!$C$5:$C$9356,I$8,Journal!$D$5:$D$9356,$B49)</f>
        <v>0</v>
      </c>
      <c r="J50" s="21">
        <f>SUMIFS(Journal!$F$5:$F$9356,Journal!$C$5:$C$9356,J$8,Journal!$D$5:$D$9356,$B49)</f>
        <v>0</v>
      </c>
      <c r="K50" s="21">
        <f>SUMIFS(Journal!$F$5:$F$9356,Journal!$C$5:$C$9356,K$8,Journal!$D$5:$D$9356,$B49)</f>
        <v>0</v>
      </c>
      <c r="L50" s="21">
        <f>SUMIFS(Journal!$F$5:$F$9356,Journal!$C$5:$C$9356,L$8,Journal!$D$5:$D$9356,$B49)</f>
        <v>0</v>
      </c>
      <c r="M50" s="21">
        <f>SUMIFS(Journal!$F$5:$F$9356,Journal!$C$5:$C$9356,M$8,Journal!$D$5:$D$9356,$B49)</f>
        <v>0</v>
      </c>
      <c r="N50" s="21">
        <f>SUMIFS(Journal!$F$5:$F$9356,Journal!$C$5:$C$9356,N$8,Journal!$D$5:$D$9356,$B49)</f>
        <v>0.1111111111111111</v>
      </c>
      <c r="O50" s="21">
        <f>SUMIFS(Journal!$F$5:$F$9356,Journal!$C$5:$C$9356,O$8,Journal!$D$5:$D$9356,$B49)</f>
        <v>0</v>
      </c>
      <c r="P50" s="21">
        <f>SUMIFS(Journal!$F$5:$F$9356,Journal!$C$5:$C$9356,P$8,Journal!$D$5:$D$9356,$B49)</f>
        <v>0</v>
      </c>
      <c r="Q50" s="21">
        <f>SUMIFS(Journal!$F$5:$F$9356,Journal!$C$5:$C$9356,Q$8,Journal!$D$5:$D$9356,$B49)</f>
        <v>0</v>
      </c>
      <c r="R50" s="21">
        <f>SUMIFS(Journal!$F$5:$F$9356,Journal!$C$5:$C$9356,R$8,Journal!$D$5:$D$9356,$B49)</f>
        <v>0</v>
      </c>
      <c r="S50" s="21">
        <f>SUMIFS(Journal!$F$5:$F$9356,Journal!$C$5:$C$9356,S$8,Journal!$D$5:$D$9356,$B49)</f>
        <v>0</v>
      </c>
      <c r="T50" s="21">
        <f>SUMIFS(Journal!$F$5:$F$9356,Journal!$C$5:$C$9356,T$8,Journal!$D$5:$D$9356,$B49)</f>
        <v>0</v>
      </c>
      <c r="U50" s="24">
        <f t="shared" si="3"/>
        <v>0.1111111111111111</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SUMIFS(Journal!$F$5:$F$9356,Journal!$C$5:$C$9356,D$8,Journal!$D$5:$D$9356,$B51)</f>
        <v>0</v>
      </c>
      <c r="E52" s="21">
        <f>SUMIFS(Journal!$F$5:$F$9356,Journal!$C$5:$C$9356,E$8,Journal!$D$5:$D$9356,$B51)</f>
        <v>0</v>
      </c>
      <c r="F52" s="21">
        <f>SUMIFS(Journal!$F$5:$F$9356,Journal!$C$5:$C$9356,F$8,Journal!$D$5:$D$9356,$B51)</f>
        <v>0</v>
      </c>
      <c r="G52" s="21">
        <f>SUMIFS(Journal!$F$5:$F$9356,Journal!$C$5:$C$9356,G$8,Journal!$D$5:$D$9356,$B51)</f>
        <v>0</v>
      </c>
      <c r="H52" s="21">
        <f>SUMIFS(Journal!$F$5:$F$9356,Journal!$C$5:$C$9356,H$8,Journal!$D$5:$D$9356,$B51)</f>
        <v>0</v>
      </c>
      <c r="I52" s="21">
        <f>SUMIFS(Journal!$F$5:$F$9356,Journal!$C$5:$C$9356,I$8,Journal!$D$5:$D$9356,$B51)</f>
        <v>0</v>
      </c>
      <c r="J52" s="21">
        <f>SUMIFS(Journal!$F$5:$F$9356,Journal!$C$5:$C$9356,J$8,Journal!$D$5:$D$9356,$B51)</f>
        <v>0</v>
      </c>
      <c r="K52" s="21">
        <f>SUMIFS(Journal!$F$5:$F$9356,Journal!$C$5:$C$9356,K$8,Journal!$D$5:$D$9356,$B51)</f>
        <v>0</v>
      </c>
      <c r="L52" s="21">
        <f>SUMIFS(Journal!$F$5:$F$9356,Journal!$C$5:$C$9356,L$8,Journal!$D$5:$D$9356,$B51)</f>
        <v>0</v>
      </c>
      <c r="M52" s="21">
        <f>SUMIFS(Journal!$F$5:$F$9356,Journal!$C$5:$C$9356,M$8,Journal!$D$5:$D$9356,$B51)</f>
        <v>0</v>
      </c>
      <c r="N52" s="21">
        <f>SUMIFS(Journal!$F$5:$F$9356,Journal!$C$5:$C$9356,N$8,Journal!$D$5:$D$9356,$B51)</f>
        <v>0</v>
      </c>
      <c r="O52" s="21">
        <f>SUMIFS(Journal!$F$5:$F$9356,Journal!$C$5:$C$9356,O$8,Journal!$D$5:$D$9356,$B51)</f>
        <v>0</v>
      </c>
      <c r="P52" s="21">
        <f>SUMIFS(Journal!$F$5:$F$9356,Journal!$C$5:$C$9356,P$8,Journal!$D$5:$D$9356,$B51)</f>
        <v>2.0833333333333332E-2</v>
      </c>
      <c r="Q52" s="21">
        <f>SUMIFS(Journal!$F$5:$F$9356,Journal!$C$5:$C$9356,Q$8,Journal!$D$5:$D$9356,$B51)</f>
        <v>0</v>
      </c>
      <c r="R52" s="21">
        <f>SUMIFS(Journal!$F$5:$F$9356,Journal!$C$5:$C$9356,R$8,Journal!$D$5:$D$9356,$B51)</f>
        <v>0</v>
      </c>
      <c r="S52" s="21">
        <f>SUMIFS(Journal!$F$5:$F$9356,Journal!$C$5:$C$9356,S$8,Journal!$D$5:$D$9356,$B51)</f>
        <v>0</v>
      </c>
      <c r="T52" s="21">
        <f>SUMIFS(Journal!$F$5:$F$9356,Journal!$C$5:$C$9356,T$8,Journal!$D$5:$D$9356,$B51)</f>
        <v>0</v>
      </c>
      <c r="U52" s="24">
        <f t="shared" si="4"/>
        <v>2.0833333333333332E-2</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SUMIFS(Journal!$F$5:$F$9356,Journal!$C$5:$C$9356,D$8,Journal!$D$5:$D$9356,$B53)</f>
        <v>0</v>
      </c>
      <c r="E54" s="21">
        <f>SUMIFS(Journal!$F$5:$F$9356,Journal!$C$5:$C$9356,E$8,Journal!$D$5:$D$9356,$B53)</f>
        <v>0</v>
      </c>
      <c r="F54" s="21">
        <f>SUMIFS(Journal!$F$5:$F$9356,Journal!$C$5:$C$9356,F$8,Journal!$D$5:$D$9356,$B53)</f>
        <v>0</v>
      </c>
      <c r="G54" s="21">
        <f>SUMIFS(Journal!$F$5:$F$9356,Journal!$C$5:$C$9356,G$8,Journal!$D$5:$D$9356,$B53)</f>
        <v>0</v>
      </c>
      <c r="H54" s="21">
        <f>SUMIFS(Journal!$F$5:$F$9356,Journal!$C$5:$C$9356,H$8,Journal!$D$5:$D$9356,$B53)</f>
        <v>0</v>
      </c>
      <c r="I54" s="21">
        <f>SUMIFS(Journal!$F$5:$F$9356,Journal!$C$5:$C$9356,I$8,Journal!$D$5:$D$9356,$B53)</f>
        <v>0</v>
      </c>
      <c r="J54" s="21">
        <f>SUMIFS(Journal!$F$5:$F$9356,Journal!$C$5:$C$9356,J$8,Journal!$D$5:$D$9356,$B53)</f>
        <v>0</v>
      </c>
      <c r="K54" s="21">
        <f>SUMIFS(Journal!$F$5:$F$9356,Journal!$C$5:$C$9356,K$8,Journal!$D$5:$D$9356,$B53)</f>
        <v>0</v>
      </c>
      <c r="L54" s="21">
        <f>SUMIFS(Journal!$F$5:$F$9356,Journal!$C$5:$C$9356,L$8,Journal!$D$5:$D$9356,$B53)</f>
        <v>0</v>
      </c>
      <c r="M54" s="21">
        <f>SUMIFS(Journal!$F$5:$F$9356,Journal!$C$5:$C$9356,M$8,Journal!$D$5:$D$9356,$B53)</f>
        <v>0</v>
      </c>
      <c r="N54" s="21">
        <f>SUMIFS(Journal!$F$5:$F$9356,Journal!$C$5:$C$9356,N$8,Journal!$D$5:$D$9356,$B53)</f>
        <v>2.7777777777777776E-2</v>
      </c>
      <c r="O54" s="21">
        <f>SUMIFS(Journal!$F$5:$F$9356,Journal!$C$5:$C$9356,O$8,Journal!$D$5:$D$9356,$B53)</f>
        <v>0</v>
      </c>
      <c r="P54" s="21">
        <f>SUMIFS(Journal!$F$5:$F$9356,Journal!$C$5:$C$9356,P$8,Journal!$D$5:$D$9356,$B53)</f>
        <v>0</v>
      </c>
      <c r="Q54" s="21">
        <f>SUMIFS(Journal!$F$5:$F$9356,Journal!$C$5:$C$9356,Q$8,Journal!$D$5:$D$9356,$B53)</f>
        <v>0</v>
      </c>
      <c r="R54" s="21">
        <f>SUMIFS(Journal!$F$5:$F$9356,Journal!$C$5:$C$9356,R$8,Journal!$D$5:$D$9356,$B53)</f>
        <v>0</v>
      </c>
      <c r="S54" s="21">
        <f>SUMIFS(Journal!$F$5:$F$9356,Journal!$C$5:$C$9356,S$8,Journal!$D$5:$D$9356,$B53)</f>
        <v>0</v>
      </c>
      <c r="T54" s="21">
        <f>SUMIFS(Journal!$F$5:$F$9356,Journal!$C$5:$C$9356,T$8,Journal!$D$5:$D$9356,$B53)</f>
        <v>0</v>
      </c>
      <c r="U54" s="24">
        <f t="shared" si="3"/>
        <v>2.7777777777777776E-2</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SUMIFS(Journal!$F$5:$F$9356,Journal!$C$5:$C$9356,D$8,Journal!$D$5:$D$9356,$B55)</f>
        <v>0</v>
      </c>
      <c r="E56" s="21">
        <f>SUMIFS(Journal!$F$5:$F$9356,Journal!$C$5:$C$9356,E$8,Journal!$D$5:$D$9356,$B55)</f>
        <v>0</v>
      </c>
      <c r="F56" s="21">
        <f>SUMIFS(Journal!$F$5:$F$9356,Journal!$C$5:$C$9356,F$8,Journal!$D$5:$D$9356,$B55)</f>
        <v>0</v>
      </c>
      <c r="G56" s="21">
        <f>SUMIFS(Journal!$F$5:$F$9356,Journal!$C$5:$C$9356,G$8,Journal!$D$5:$D$9356,$B55)</f>
        <v>0</v>
      </c>
      <c r="H56" s="21">
        <f>SUMIFS(Journal!$F$5:$F$9356,Journal!$C$5:$C$9356,H$8,Journal!$D$5:$D$9356,$B55)</f>
        <v>0</v>
      </c>
      <c r="I56" s="21">
        <f>SUMIFS(Journal!$F$5:$F$9356,Journal!$C$5:$C$9356,I$8,Journal!$D$5:$D$9356,$B55)</f>
        <v>0</v>
      </c>
      <c r="J56" s="21">
        <f>SUMIFS(Journal!$F$5:$F$9356,Journal!$C$5:$C$9356,J$8,Journal!$D$5:$D$9356,$B55)</f>
        <v>0</v>
      </c>
      <c r="K56" s="21">
        <f>SUMIFS(Journal!$F$5:$F$9356,Journal!$C$5:$C$9356,K$8,Journal!$D$5:$D$9356,$B55)</f>
        <v>0</v>
      </c>
      <c r="L56" s="21">
        <f>SUMIFS(Journal!$F$5:$F$9356,Journal!$C$5:$C$9356,L$8,Journal!$D$5:$D$9356,$B55)</f>
        <v>0</v>
      </c>
      <c r="M56" s="21">
        <f>SUMIFS(Journal!$F$5:$F$9356,Journal!$C$5:$C$9356,M$8,Journal!$D$5:$D$9356,$B55)</f>
        <v>0</v>
      </c>
      <c r="N56" s="21">
        <f>SUMIFS(Journal!$F$5:$F$9356,Journal!$C$5:$C$9356,N$8,Journal!$D$5:$D$9356,$B55)</f>
        <v>0</v>
      </c>
      <c r="O56" s="21">
        <f>SUMIFS(Journal!$F$5:$F$9356,Journal!$C$5:$C$9356,O$8,Journal!$D$5:$D$9356,$B55)</f>
        <v>0</v>
      </c>
      <c r="P56" s="21">
        <f>SUMIFS(Journal!$F$5:$F$9356,Journal!$C$5:$C$9356,P$8,Journal!$D$5:$D$9356,$B55)</f>
        <v>0</v>
      </c>
      <c r="Q56" s="21">
        <f>SUMIFS(Journal!$F$5:$F$9356,Journal!$C$5:$C$9356,Q$8,Journal!$D$5:$D$9356,$B55)</f>
        <v>0</v>
      </c>
      <c r="R56" s="21">
        <f>SUMIFS(Journal!$F$5:$F$9356,Journal!$C$5:$C$9356,R$8,Journal!$D$5:$D$9356,$B55)</f>
        <v>0</v>
      </c>
      <c r="S56" s="21">
        <f>SUMIFS(Journal!$F$5:$F$9356,Journal!$C$5:$C$9356,S$8,Journal!$D$5:$D$9356,$B55)</f>
        <v>0</v>
      </c>
      <c r="T56" s="21">
        <f>SUMIFS(Journal!$F$5:$F$9356,Journal!$C$5:$C$9356,T$8,Journal!$D$5:$D$9356,$B55)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SUMIFS(Journal!$F$5:$F$9356,Journal!$C$5:$C$9356,D$8,Journal!$D$5:$D$9356,$B57)</f>
        <v>0</v>
      </c>
      <c r="E58" s="21">
        <f>SUMIFS(Journal!$F$5:$F$9356,Journal!$C$5:$C$9356,E$8,Journal!$D$5:$D$9356,$B57)</f>
        <v>0</v>
      </c>
      <c r="F58" s="21">
        <f>SUMIFS(Journal!$F$5:$F$9356,Journal!$C$5:$C$9356,F$8,Journal!$D$5:$D$9356,$B57)</f>
        <v>0</v>
      </c>
      <c r="G58" s="21">
        <f>SUMIFS(Journal!$F$5:$F$9356,Journal!$C$5:$C$9356,G$8,Journal!$D$5:$D$9356,$B57)</f>
        <v>0</v>
      </c>
      <c r="H58" s="21">
        <f>SUMIFS(Journal!$F$5:$F$9356,Journal!$C$5:$C$9356,H$8,Journal!$D$5:$D$9356,$B57)</f>
        <v>0</v>
      </c>
      <c r="I58" s="21">
        <f>SUMIFS(Journal!$F$5:$F$9356,Journal!$C$5:$C$9356,I$8,Journal!$D$5:$D$9356,$B57)</f>
        <v>0</v>
      </c>
      <c r="J58" s="21">
        <f>SUMIFS(Journal!$F$5:$F$9356,Journal!$C$5:$C$9356,J$8,Journal!$D$5:$D$9356,$B57)</f>
        <v>0</v>
      </c>
      <c r="K58" s="21">
        <f>SUMIFS(Journal!$F$5:$F$9356,Journal!$C$5:$C$9356,K$8,Journal!$D$5:$D$9356,$B57)</f>
        <v>0</v>
      </c>
      <c r="L58" s="21">
        <f>SUMIFS(Journal!$F$5:$F$9356,Journal!$C$5:$C$9356,L$8,Journal!$D$5:$D$9356,$B57)</f>
        <v>0</v>
      </c>
      <c r="M58" s="21">
        <f>SUMIFS(Journal!$F$5:$F$9356,Journal!$C$5:$C$9356,M$8,Journal!$D$5:$D$9356,$B57)</f>
        <v>0</v>
      </c>
      <c r="N58" s="21">
        <f>SUMIFS(Journal!$F$5:$F$9356,Journal!$C$5:$C$9356,N$8,Journal!$D$5:$D$9356,$B57)</f>
        <v>2.7777777777777776E-2</v>
      </c>
      <c r="O58" s="21">
        <f>SUMIFS(Journal!$F$5:$F$9356,Journal!$C$5:$C$9356,O$8,Journal!$D$5:$D$9356,$B57)</f>
        <v>0</v>
      </c>
      <c r="P58" s="21">
        <f>SUMIFS(Journal!$F$5:$F$9356,Journal!$C$5:$C$9356,P$8,Journal!$D$5:$D$9356,$B57)</f>
        <v>0</v>
      </c>
      <c r="Q58" s="21">
        <f>SUMIFS(Journal!$F$5:$F$9356,Journal!$C$5:$C$9356,Q$8,Journal!$D$5:$D$9356,$B57)</f>
        <v>0</v>
      </c>
      <c r="R58" s="21">
        <f>SUMIFS(Journal!$F$5:$F$9356,Journal!$C$5:$C$9356,R$8,Journal!$D$5:$D$9356,$B57)</f>
        <v>0</v>
      </c>
      <c r="S58" s="21">
        <f>SUMIFS(Journal!$F$5:$F$9356,Journal!$C$5:$C$9356,S$8,Journal!$D$5:$D$9356,$B57)</f>
        <v>0</v>
      </c>
      <c r="T58" s="21">
        <f>SUMIFS(Journal!$F$5:$F$9356,Journal!$C$5:$C$9356,T$8,Journal!$D$5:$D$9356,$B57)</f>
        <v>0</v>
      </c>
      <c r="U58" s="24">
        <f t="shared" si="3"/>
        <v>2.7777777777777776E-2</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SUMIFS(Journal!$F$5:$F$9356,Journal!$C$5:$C$9356,D$8,Journal!$D$5:$D$9356,$B61)</f>
        <v>0</v>
      </c>
      <c r="E62" s="21"/>
      <c r="F62" s="21">
        <f>SUMIFS(Journal!$F$5:$F$9356,Journal!$C$5:$C$9356,F$8,Journal!$D$5:$D$9356,$B61)</f>
        <v>0</v>
      </c>
      <c r="G62" s="21"/>
      <c r="H62" s="21">
        <f>SUMIFS(Journal!$F$5:$F$9356,Journal!$C$5:$C$9356,H$8,Journal!$D$5:$D$9356,$B61)</f>
        <v>0</v>
      </c>
      <c r="I62" s="21"/>
      <c r="J62" s="21">
        <f>SUMIFS(Journal!$F$5:$F$9356,Journal!$C$5:$C$9356,J$8,Journal!$D$5:$D$9356,$B61)</f>
        <v>0</v>
      </c>
      <c r="K62" s="21"/>
      <c r="L62" s="21">
        <f>SUMIFS(Journal!$F$5:$F$9356,Journal!$C$5:$C$9356,L$8,Journal!$D$5:$D$9356,$B61)</f>
        <v>4.1666666666666664E-2</v>
      </c>
      <c r="M62" s="21"/>
      <c r="N62" s="21">
        <f>SUMIFS(Journal!$F$5:$F$9356,Journal!$C$5:$C$9356,N$8,Journal!$D$5:$D$9356,$B61)</f>
        <v>0</v>
      </c>
      <c r="O62" s="21"/>
      <c r="P62" s="21">
        <f>SUMIFS(Journal!$F$5:$F$9356,Journal!$C$5:$C$9356,P$8,Journal!$D$5:$D$9356,$B61)</f>
        <v>0</v>
      </c>
      <c r="Q62" s="21"/>
      <c r="R62" s="21">
        <f>SUMIFS(Journal!$F$5:$F$9356,Journal!$C$5:$C$9356,R$8,Journal!$D$5:$D$9356,$B61)</f>
        <v>0</v>
      </c>
      <c r="S62" s="21"/>
      <c r="T62" s="21">
        <f>SUMIFS(Journal!$F$5:$F$9356,Journal!$C$5:$C$9356,T$8,Journal!$D$5:$D$9356,$B61)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SUMIFS(Journal!$F$5:$F$9356,Journal!$C$5:$C$9356,D$8,Journal!$D$5:$D$9356,$B63)</f>
        <v>0</v>
      </c>
      <c r="E64" s="21"/>
      <c r="F64" s="21">
        <f>SUMIFS(Journal!$F$5:$F$9356,Journal!$C$5:$C$9356,F$8,Journal!$D$5:$D$9356,$B63)</f>
        <v>0</v>
      </c>
      <c r="G64" s="21"/>
      <c r="H64" s="21">
        <f>SUMIFS(Journal!$F$5:$F$9356,Journal!$C$5:$C$9356,H$8,Journal!$D$5:$D$9356,$B63)</f>
        <v>0</v>
      </c>
      <c r="I64" s="21"/>
      <c r="J64" s="21">
        <f>SUMIFS(Journal!$F$5:$F$9356,Journal!$C$5:$C$9356,J$8,Journal!$D$5:$D$9356,$B63)</f>
        <v>0</v>
      </c>
      <c r="K64" s="21"/>
      <c r="L64" s="21">
        <f>SUMIFS(Journal!$F$5:$F$9356,Journal!$C$5:$C$9356,L$8,Journal!$D$5:$D$9356,$B63)</f>
        <v>0</v>
      </c>
      <c r="M64" s="21"/>
      <c r="N64" s="21">
        <f>SUMIFS(Journal!$F$5:$F$9356,Journal!$C$5:$C$9356,N$8,Journal!$D$5:$D$9356,$B63)</f>
        <v>0</v>
      </c>
      <c r="O64" s="21"/>
      <c r="P64" s="21">
        <f>SUMIFS(Journal!$F$5:$F$9356,Journal!$C$5:$C$9356,P$8,Journal!$D$5:$D$9356,$B63)</f>
        <v>0</v>
      </c>
      <c r="Q64" s="21"/>
      <c r="R64" s="21">
        <f>SUMIFS(Journal!$F$5:$F$9356,Journal!$C$5:$C$9356,R$8,Journal!$D$5:$D$9356,$B63)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SUMIFS(Journal!$F$5:$F$9356,Journal!$C$5:$C$9356,D$8,Journal!$D$5:$D$9356,$B65)</f>
        <v>0</v>
      </c>
      <c r="E66" s="21"/>
      <c r="F66" s="21">
        <f>SUMIFS(Journal!$F$5:$F$9356,Journal!$C$5:$C$9356,F$8,Journal!$D$5:$D$9356,$B65)</f>
        <v>0</v>
      </c>
      <c r="G66" s="21"/>
      <c r="H66" s="21">
        <f>SUMIFS(Journal!$F$5:$F$9356,Journal!$C$5:$C$9356,H$8,Journal!$D$5:$D$9356,$B65)</f>
        <v>0</v>
      </c>
      <c r="I66" s="21"/>
      <c r="J66" s="21">
        <f>SUMIFS(Journal!$F$5:$F$9356,Journal!$C$5:$C$9356,J$8,Journal!$D$5:$D$9356,$B65)</f>
        <v>0</v>
      </c>
      <c r="K66" s="21"/>
      <c r="L66" s="21">
        <f>SUMIFS(Journal!$F$5:$F$9356,Journal!$C$5:$C$9356,L$8,Journal!$D$5:$D$9356,$B65)</f>
        <v>0</v>
      </c>
      <c r="M66" s="21"/>
      <c r="N66" s="21">
        <f>SUMIFS(Journal!$F$5:$F$9356,Journal!$C$5:$C$9356,N$8,Journal!$D$5:$D$9356,$B65)</f>
        <v>0</v>
      </c>
      <c r="O66" s="21"/>
      <c r="P66" s="21">
        <f>SUMIFS(Journal!$F$5:$F$9356,Journal!$C$5:$C$9356,P$8,Journal!$D$5:$D$9356,$B65)</f>
        <v>0</v>
      </c>
      <c r="Q66" s="21"/>
      <c r="R66" s="21">
        <f>SUMIFS(Journal!$F$5:$F$9356,Journal!$C$5:$C$9356,R$8,Journal!$D$5:$D$9356,$B65)</f>
        <v>0</v>
      </c>
      <c r="S66" s="21"/>
      <c r="T66" s="21">
        <f>SUMIFS(Journal!$F$5:$F$9356,Journal!$C$5:$C$9356,T$8,Journal!$D$5:$D$9356,$B65)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SUMIFS(Journal!$F$5:$F$9356,Journal!$C$5:$C$9356,D$8,Journal!$D$5:$D$9356,$B67)</f>
        <v>0</v>
      </c>
      <c r="E68" s="21"/>
      <c r="F68" s="21">
        <f>SUMIFS(Journal!$F$5:$F$9356,Journal!$C$5:$C$9356,F$8,Journal!$D$5:$D$9356,$B67)</f>
        <v>0</v>
      </c>
      <c r="G68" s="21"/>
      <c r="H68" s="21">
        <f>SUMIFS(Journal!$F$5:$F$9356,Journal!$C$5:$C$9356,H$8,Journal!$D$5:$D$9356,$B67)</f>
        <v>0</v>
      </c>
      <c r="I68" s="21"/>
      <c r="J68" s="21">
        <f>SUMIFS(Journal!$F$5:$F$9356,Journal!$C$5:$C$9356,J$8,Journal!$D$5:$D$9356,$B67)</f>
        <v>0</v>
      </c>
      <c r="K68" s="21"/>
      <c r="L68" s="21">
        <f>SUMIFS(Journal!$F$5:$F$9356,Journal!$C$5:$C$9356,L$8,Journal!$D$5:$D$9356,$B67)</f>
        <v>2.4305555555555556E-2</v>
      </c>
      <c r="M68" s="21"/>
      <c r="N68" s="21">
        <f>SUMIFS(Journal!$F$5:$F$9356,Journal!$C$5:$C$9356,N$8,Journal!$D$5:$D$9356,$B67)</f>
        <v>0</v>
      </c>
      <c r="O68" s="21"/>
      <c r="P68" s="21">
        <f>SUMIFS(Journal!$F$5:$F$9356,Journal!$C$5:$C$9356,P$8,Journal!$D$5:$D$9356,$B67)</f>
        <v>0</v>
      </c>
      <c r="Q68" s="21"/>
      <c r="R68" s="21">
        <f>SUMIFS(Journal!$F$5:$F$9356,Journal!$C$5:$C$9356,R$8,Journal!$D$5:$D$9356,$B67)</f>
        <v>0</v>
      </c>
      <c r="S68" s="21"/>
      <c r="T68" s="21">
        <f>SUMIFS(Journal!$F$5:$F$9356,Journal!$C$5:$C$9356,T$8,Journal!$D$5:$D$9356,$B67)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SUMIFS(Journal!$F$5:$F$9356,Journal!$C$5:$C$9356,D$8,Journal!$D$5:$D$9356,$B69)</f>
        <v>0</v>
      </c>
      <c r="E70" s="21"/>
      <c r="F70" s="21">
        <f>SUMIFS(Journal!$F$5:$F$9356,Journal!$C$5:$C$9356,F$8,Journal!$D$5:$D$9356,$B69)</f>
        <v>0</v>
      </c>
      <c r="G70" s="21"/>
      <c r="H70" s="21">
        <f>SUMIFS(Journal!$F$5:$F$9356,Journal!$C$5:$C$9356,H$8,Journal!$D$5:$D$9356,$B69)</f>
        <v>0</v>
      </c>
      <c r="I70" s="21"/>
      <c r="J70" s="21">
        <f>SUMIFS(Journal!$F$5:$F$9356,Journal!$C$5:$C$9356,J$8,Journal!$D$5:$D$9356,$B69)</f>
        <v>0</v>
      </c>
      <c r="K70" s="21"/>
      <c r="L70" s="21">
        <f>SUMIFS(Journal!$F$5:$F$9356,Journal!$C$5:$C$9356,L$8,Journal!$D$5:$D$9356,$B69)</f>
        <v>0</v>
      </c>
      <c r="M70" s="21"/>
      <c r="N70" s="21">
        <f>SUMIFS(Journal!$F$5:$F$9356,Journal!$C$5:$C$9356,N$8,Journal!$D$5:$D$9356,$B69)</f>
        <v>0</v>
      </c>
      <c r="O70" s="21"/>
      <c r="P70" s="21">
        <f>SUMIFS(Journal!$F$5:$F$9356,Journal!$C$5:$C$9356,P$8,Journal!$D$5:$D$9356,$B69)</f>
        <v>0</v>
      </c>
      <c r="Q70" s="21"/>
      <c r="R70" s="21">
        <f>SUMIFS(Journal!$F$5:$F$9356,Journal!$C$5:$C$9356,R$8,Journal!$D$5:$D$9356,$B69)</f>
        <v>0</v>
      </c>
      <c r="S70" s="21"/>
      <c r="T70" s="21">
        <f>SUMIFS(Journal!$F$5:$F$9356,Journal!$C$5:$C$9356,T$8,Journal!$D$5:$D$9356,$B69)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SUMIFS(Journal!$F$5:$F$9356,Journal!$C$5:$C$9356,D$8,Journal!$D$5:$D$9356,$B71)</f>
        <v>0</v>
      </c>
      <c r="E72" s="21"/>
      <c r="F72" s="21">
        <f>SUMIFS(Journal!$F$5:$F$9356,Journal!$C$5:$C$9356,F$8,Journal!$D$5:$D$9356,$B71)</f>
        <v>0</v>
      </c>
      <c r="G72" s="21"/>
      <c r="H72" s="21">
        <f>SUMIFS(Journal!$F$5:$F$9356,Journal!$C$5:$C$9356,H$8,Journal!$D$5:$D$9356,$B71)</f>
        <v>0</v>
      </c>
      <c r="I72" s="21"/>
      <c r="J72" s="21">
        <f>SUMIFS(Journal!$F$5:$F$9356,Journal!$C$5:$C$9356,J$8,Journal!$D$5:$D$9356,$B71)</f>
        <v>0</v>
      </c>
      <c r="K72" s="21"/>
      <c r="L72" s="21">
        <f>SUMIFS(Journal!$F$5:$F$9356,Journal!$C$5:$C$9356,L$8,Journal!$D$5:$D$9356,$B71)</f>
        <v>0</v>
      </c>
      <c r="M72" s="21"/>
      <c r="N72" s="21">
        <f>SUMIFS(Journal!$F$5:$F$9356,Journal!$C$5:$C$9356,N$8,Journal!$D$5:$D$9356,$B71)</f>
        <v>0</v>
      </c>
      <c r="O72" s="21"/>
      <c r="P72" s="21">
        <f>SUMIFS(Journal!$F$5:$F$9356,Journal!$C$5:$C$9356,P$8,Journal!$D$5:$D$9356,$B71)</f>
        <v>0</v>
      </c>
      <c r="Q72" s="21"/>
      <c r="R72" s="21">
        <f>SUMIFS(Journal!$F$5:$F$9356,Journal!$C$5:$C$9356,R$8,Journal!$D$5:$D$9356,$B71)</f>
        <v>0</v>
      </c>
      <c r="S72" s="21"/>
      <c r="T72" s="21">
        <f>SUMIFS(Journal!$F$5:$F$9356,Journal!$C$5:$C$9356,T$8,Journal!$D$5:$D$9356,$B71)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0.25694444444444442</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SUMIFS(Journal!$F$5:$F$9356,Journal!$C$5:$C$9356,D$8,Journal!$D$5:$D$9356,$B75)</f>
        <v>4.5138888888888888E-2</v>
      </c>
      <c r="E76" s="21"/>
      <c r="F76" s="21">
        <f>SUMIFS(Journal!$F$5:$F$9356,Journal!$C$5:$C$9356,F$8,Journal!$D$5:$D$9356,$B75)</f>
        <v>0.10069444444444445</v>
      </c>
      <c r="G76" s="21"/>
      <c r="H76" s="21">
        <f>SUMIFS(Journal!$F$5:$F$9356,Journal!$C$5:$C$9356,H$8,Journal!$D$5:$D$9356,$B75)</f>
        <v>6.9444444444444441E-3</v>
      </c>
      <c r="I76" s="21"/>
      <c r="J76" s="21">
        <f>SUMIFS(Journal!$F$5:$F$9356,Journal!$C$5:$C$9356,J$8,Journal!$D$5:$D$9356,$B75)</f>
        <v>0</v>
      </c>
      <c r="K76" s="21"/>
      <c r="L76" s="21">
        <f>SUMIFS(Journal!$F$5:$F$9356,Journal!$C$5:$C$9356,L$8,Journal!$D$5:$D$9356,$B75)</f>
        <v>1.7361111111111112E-2</v>
      </c>
      <c r="M76" s="21"/>
      <c r="N76" s="21">
        <f>SUMIFS(Journal!$F$5:$F$9356,Journal!$C$5:$C$9356,N$8,Journal!$D$5:$D$9356,$B75)</f>
        <v>1.7361111111111112E-2</v>
      </c>
      <c r="O76" s="21"/>
      <c r="P76" s="21">
        <f>SUMIFS(Journal!$F$5:$F$9356,Journal!$C$5:$C$9356,P$8,Journal!$D$5:$D$9356,$B75)</f>
        <v>0</v>
      </c>
      <c r="Q76" s="21"/>
      <c r="R76" s="21">
        <f>SUMIFS(Journal!$F$5:$F$9356,Journal!$C$5:$C$9356,R$8,Journal!$D$5:$D$9356,$B75)</f>
        <v>0</v>
      </c>
      <c r="S76" s="21"/>
      <c r="T76" s="21">
        <f>SUMIFS(Journal!$F$5:$F$9356,Journal!$C$5:$C$9356,T$8,Journal!$D$5:$D$9356,$B75)</f>
        <v>0</v>
      </c>
      <c r="U76" s="24">
        <f t="shared" si="7"/>
        <v>0.1875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SUMIFS(Journal!$F$5:$F$9356,Journal!$C$5:$C$9356,D$8,Journal!$D$5:$D$9356,$B77)</f>
        <v>0</v>
      </c>
      <c r="E78" s="21"/>
      <c r="F78" s="21">
        <f>SUMIFS(Journal!$F$5:$F$9356,Journal!$C$5:$C$9356,F$8,Journal!$D$5:$D$9356,$B77)</f>
        <v>0</v>
      </c>
      <c r="G78" s="21"/>
      <c r="H78" s="21">
        <f>SUMIFS(Journal!$F$5:$F$9356,Journal!$C$5:$C$9356,H$8,Journal!$D$5:$D$9356,$B77)</f>
        <v>0</v>
      </c>
      <c r="I78" s="21"/>
      <c r="J78" s="21">
        <f>SUMIFS(Journal!$F$5:$F$9356,Journal!$C$5:$C$9356,J$8,Journal!$D$5:$D$9356,$B77)</f>
        <v>0</v>
      </c>
      <c r="K78" s="21"/>
      <c r="L78" s="21">
        <f>SUMIFS(Journal!$F$5:$F$9356,Journal!$C$5:$C$9356,L$8,Journal!$D$5:$D$9356,$B77)</f>
        <v>0</v>
      </c>
      <c r="M78" s="21"/>
      <c r="N78" s="21">
        <f>SUMIFS(Journal!$F$5:$F$9356,Journal!$C$5:$C$9356,N$8,Journal!$D$5:$D$9356,$B77)</f>
        <v>0</v>
      </c>
      <c r="O78" s="21"/>
      <c r="P78" s="21">
        <f>SUMIFS(Journal!$F$5:$F$9356,Journal!$C$5:$C$9356,P$8,Journal!$D$5:$D$9356,$B77)</f>
        <v>0</v>
      </c>
      <c r="Q78" s="21"/>
      <c r="R78" s="21">
        <f>SUMIFS(Journal!$F$5:$F$9356,Journal!$C$5:$C$9356,R$8,Journal!$D$5:$D$9356,$B77)</f>
        <v>0</v>
      </c>
      <c r="S78" s="21"/>
      <c r="T78" s="21">
        <f>SUMIFS(Journal!$F$5:$F$9356,Journal!$C$5:$C$9356,T$8,Journal!$D$5:$D$9356,$B77)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SUMIFS(Journal!$F$5:$F$9356,Journal!$C$5:$C$9356,D$8,Journal!$D$5:$D$9356,$B79)</f>
        <v>0</v>
      </c>
      <c r="E80" s="21"/>
      <c r="F80" s="21">
        <f>SUMIFS(Journal!$F$5:$F$9356,Journal!$C$5:$C$9356,F$8,Journal!$D$5:$D$9356,$B79)</f>
        <v>0</v>
      </c>
      <c r="G80" s="21"/>
      <c r="H80" s="21">
        <f>SUMIFS(Journal!$F$5:$F$9356,Journal!$C$5:$C$9356,H$8,Journal!$D$5:$D$9356,$B79)</f>
        <v>0</v>
      </c>
      <c r="I80" s="21"/>
      <c r="J80" s="21">
        <f>SUMIFS(Journal!$F$5:$F$9356,Journal!$C$5:$C$9356,J$8,Journal!$D$5:$D$9356,$B79)</f>
        <v>0</v>
      </c>
      <c r="K80" s="21"/>
      <c r="L80" s="21">
        <f>SUMIFS(Journal!$F$5:$F$9356,Journal!$C$5:$C$9356,L$8,Journal!$D$5:$D$9356,$B79)</f>
        <v>0</v>
      </c>
      <c r="M80" s="21"/>
      <c r="N80" s="21">
        <f>SUMIFS(Journal!$F$5:$F$9356,Journal!$C$5:$C$9356,N$8,Journal!$D$5:$D$9356,$B79)</f>
        <v>0</v>
      </c>
      <c r="O80" s="21"/>
      <c r="P80" s="21">
        <f>SUMIFS(Journal!$F$5:$F$9356,Journal!$C$5:$C$9356,P$8,Journal!$D$5:$D$9356,$B79)</f>
        <v>0</v>
      </c>
      <c r="Q80" s="21"/>
      <c r="R80" s="21">
        <f>SUMIFS(Journal!$F$5:$F$9356,Journal!$C$5:$C$9356,R$8,Journal!$D$5:$D$9356,$B79)</f>
        <v>0</v>
      </c>
      <c r="S80" s="21"/>
      <c r="T80" s="21">
        <f>SUMIFS(Journal!$F$5:$F$9356,Journal!$C$5:$C$9356,T$8,Journal!$D$5:$D$9356,$B79)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SUMIFS(Journal!$F$5:$F$9356,Journal!$C$5:$C$9356,D$8,Journal!$D$5:$D$9356,$B81)</f>
        <v>0</v>
      </c>
      <c r="E82" s="21"/>
      <c r="F82" s="21">
        <f>SUMIFS(Journal!$F$5:$F$9356,Journal!$C$5:$C$9356,F$8,Journal!$D$5:$D$9356,$B81)</f>
        <v>0</v>
      </c>
      <c r="G82" s="21"/>
      <c r="H82" s="21">
        <f>SUMIFS(Journal!$F$5:$F$9356,Journal!$C$5:$C$9356,H$8,Journal!$D$5:$D$9356,$B81)</f>
        <v>0</v>
      </c>
      <c r="I82" s="21"/>
      <c r="J82" s="21">
        <f>SUMIFS(Journal!$F$5:$F$9356,Journal!$C$5:$C$9356,J$8,Journal!$D$5:$D$9356,$B81)</f>
        <v>0</v>
      </c>
      <c r="K82" s="21"/>
      <c r="L82" s="21">
        <f>SUMIFS(Journal!$F$5:$F$9356,Journal!$C$5:$C$9356,L$8,Journal!$D$5:$D$9356,$B81)</f>
        <v>0</v>
      </c>
      <c r="M82" s="21"/>
      <c r="N82" s="21">
        <f>SUMIFS(Journal!$F$5:$F$9356,Journal!$C$5:$C$9356,N$8,Journal!$D$5:$D$9356,$B81)</f>
        <v>0</v>
      </c>
      <c r="O82" s="21"/>
      <c r="P82" s="21">
        <f>SUMIFS(Journal!$F$5:$F$9356,Journal!$C$5:$C$9356,P$8,Journal!$D$5:$D$9356,$B81)</f>
        <v>0</v>
      </c>
      <c r="Q82" s="21"/>
      <c r="R82" s="21">
        <f>SUMIFS(Journal!$F$5:$F$9356,Journal!$C$5:$C$9356,R$8,Journal!$D$5:$D$9356,$B81)</f>
        <v>0</v>
      </c>
      <c r="S82" s="21"/>
      <c r="T82" s="21">
        <f>SUMIFS(Journal!$F$5:$F$9356,Journal!$C$5:$C$9356,T$8,Journal!$D$5:$D$9356,$B81)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SUMIFS(Journal!$F$5:$F$9356,Journal!$C$5:$C$9356,D$8,Journal!$D$5:$D$9356,$B83)</f>
        <v>6.9444444444444441E-3</v>
      </c>
      <c r="E84" s="21"/>
      <c r="F84" s="21">
        <f>SUMIFS(Journal!$F$5:$F$9356,Journal!$C$5:$C$9356,F$8,Journal!$D$5:$D$9356,$B83)</f>
        <v>1.0416666666666666E-2</v>
      </c>
      <c r="G84" s="21"/>
      <c r="H84" s="21">
        <f>SUMIFS(Journal!$F$5:$F$9356,Journal!$C$5:$C$9356,H$8,Journal!$D$5:$D$9356,$B83)</f>
        <v>1.0416666666666666E-2</v>
      </c>
      <c r="I84" s="21"/>
      <c r="J84" s="21">
        <f>SUMIFS(Journal!$F$5:$F$9356,Journal!$C$5:$C$9356,J$8,Journal!$D$5:$D$9356,$B83)</f>
        <v>0</v>
      </c>
      <c r="K84" s="21"/>
      <c r="L84" s="21">
        <f>SUMIFS(Journal!$F$5:$F$9356,Journal!$C$5:$C$9356,L$8,Journal!$D$5:$D$9356,$B83)</f>
        <v>2.7777777777777776E-2</v>
      </c>
      <c r="M84" s="21"/>
      <c r="N84" s="21">
        <f>SUMIFS(Journal!$F$5:$F$9356,Journal!$C$5:$C$9356,N$8,Journal!$D$5:$D$9356,$B83)</f>
        <v>1.3888888888888888E-2</v>
      </c>
      <c r="O84" s="21"/>
      <c r="P84" s="21">
        <f>SUMIFS(Journal!$F$5:$F$9356,Journal!$C$5:$C$9356,P$8,Journal!$D$5:$D$9356,$B83)</f>
        <v>0</v>
      </c>
      <c r="Q84" s="21"/>
      <c r="R84" s="21">
        <f>SUMIFS(Journal!$F$5:$F$9356,Journal!$C$5:$C$9356,R$8,Journal!$D$5:$D$9356,$B83)</f>
        <v>0</v>
      </c>
      <c r="S84" s="21"/>
      <c r="T84" s="21">
        <f>SUMIFS(Journal!$F$5:$F$9356,Journal!$C$5:$C$9356,T$8,Journal!$D$5:$D$9356,$B83)</f>
        <v>0</v>
      </c>
      <c r="U84" s="24">
        <f t="shared" si="7"/>
        <v>6.9444444444444448E-2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SUMIFS(Journal!$F$5:$F$9356,Journal!$C$5:$C$9356,D$8,Journal!$D$5:$D$9356,$B85)</f>
        <v>0</v>
      </c>
      <c r="E86" s="21"/>
      <c r="F86" s="21">
        <f>SUMIFS(Journal!$F$5:$F$9356,Journal!$C$5:$C$9356,F$8,Journal!$D$5:$D$9356,$B85)</f>
        <v>0</v>
      </c>
      <c r="G86" s="21"/>
      <c r="H86" s="21">
        <f>SUMIFS(Journal!$F$5:$F$9356,Journal!$C$5:$C$9356,H$8,Journal!$D$5:$D$9356,$B85)</f>
        <v>0</v>
      </c>
      <c r="I86" s="21"/>
      <c r="J86" s="21">
        <f>SUMIFS(Journal!$F$5:$F$9356,Journal!$C$5:$C$9356,J$8,Journal!$D$5:$D$9356,$B85)</f>
        <v>0</v>
      </c>
      <c r="K86" s="21"/>
      <c r="L86" s="21">
        <f>SUMIFS(Journal!$F$5:$F$9356,Journal!$C$5:$C$9356,L$8,Journal!$D$5:$D$9356,$B85)</f>
        <v>0</v>
      </c>
      <c r="M86" s="21"/>
      <c r="N86" s="21">
        <f>SUMIFS(Journal!$F$5:$F$9356,Journal!$C$5:$C$9356,N$8,Journal!$D$5:$D$9356,$B85)</f>
        <v>0</v>
      </c>
      <c r="O86" s="21"/>
      <c r="P86" s="21">
        <f>SUMIFS(Journal!$F$5:$F$9356,Journal!$C$5:$C$9356,P$8,Journal!$D$5:$D$9356,$B85)</f>
        <v>0</v>
      </c>
      <c r="Q86" s="21"/>
      <c r="R86" s="21">
        <f>SUMIFS(Journal!$F$5:$F$9356,Journal!$C$5:$C$9356,R$8,Journal!$D$5:$D$9356,$B85)</f>
        <v>0</v>
      </c>
      <c r="S86" s="21"/>
      <c r="T86" s="21">
        <f>SUMIFS(Journal!$F$5:$F$9356,Journal!$C$5:$C$9356,T$8,Journal!$D$5:$D$9356,$B85)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SUMIFS(Journal!$F$5:$F$9356,Journal!$C$5:$C$9356,E$8,Journal!$D$5:$D$9356,$B89)</f>
        <v>0</v>
      </c>
      <c r="F90" s="21">
        <f>SUMIFS(Journal!$F$5:$F$9356,Journal!$C$5:$C$9356,F$8,Journal!$D$5:$D$9356,$B89)</f>
        <v>0</v>
      </c>
      <c r="G90" s="21">
        <f>SUMIFS(Journal!$F$5:$F$9356,Journal!$C$5:$C$9356,G$8,Journal!$D$5:$D$9356,$B89)</f>
        <v>0</v>
      </c>
      <c r="H90" s="21">
        <f>SUMIFS(Journal!$F$5:$F$9356,Journal!$C$5:$C$9356,H$8,Journal!$D$5:$D$9356,$B89)</f>
        <v>0</v>
      </c>
      <c r="I90" s="21">
        <f>SUMIFS(Journal!$F$5:$F$9356,Journal!$C$5:$C$9356,I$8,Journal!$D$5:$D$9356,$B89)</f>
        <v>0</v>
      </c>
      <c r="J90" s="21">
        <f>SUMIFS(Journal!$F$5:$F$9356,Journal!$C$5:$C$9356,J$8,Journal!$D$5:$D$9356,$B89)</f>
        <v>0</v>
      </c>
      <c r="K90" s="21">
        <f>SUMIFS(Journal!$F$5:$F$9356,Journal!$C$5:$C$9356,K$8,Journal!$D$5:$D$9356,$B89)</f>
        <v>0</v>
      </c>
      <c r="L90" s="21">
        <f>SUMIFS(Journal!$F$5:$F$9356,Journal!$C$5:$C$9356,L$8,Journal!$D$5:$D$9356,$B89)</f>
        <v>0</v>
      </c>
      <c r="M90" s="21">
        <f>SUMIFS(Journal!$F$5:$F$9356,Journal!$C$5:$C$9356,M$8,Journal!$D$5:$D$9356,$B89)</f>
        <v>0</v>
      </c>
      <c r="N90" s="21">
        <f>SUMIFS(Journal!$F$5:$F$9356,Journal!$C$5:$C$9356,N$8,Journal!$D$5:$D$9356,$B89)</f>
        <v>0</v>
      </c>
      <c r="O90" s="21">
        <f>SUMIFS(Journal!$F$5:$F$9356,Journal!$C$5:$C$9356,O$8,Journal!$D$5:$D$9356,$B89)</f>
        <v>0</v>
      </c>
      <c r="P90" s="21">
        <f>SUMIFS(Journal!$F$5:$F$9356,Journal!$C$5:$C$9356,P$8,Journal!$D$5:$D$9356,$B89)</f>
        <v>0</v>
      </c>
      <c r="Q90" s="21">
        <f>SUMIFS(Journal!$F$5:$F$9356,Journal!$C$5:$C$9356,Q$8,Journal!$D$5:$D$9356,$B89)</f>
        <v>0</v>
      </c>
      <c r="R90" s="21">
        <f>SUMIFS(Journal!$F$5:$F$9356,Journal!$C$5:$C$9356,R$8,Journal!$D$5:$D$9356,$B89)</f>
        <v>0</v>
      </c>
      <c r="S90" s="21">
        <f>SUMIFS(Journal!$F$5:$F$9356,Journal!$C$5:$C$9356,S$8,Journal!$D$5:$D$9356,$B89)</f>
        <v>0</v>
      </c>
      <c r="T90" s="21">
        <f>SUMIFS(Journal!$F$5:$F$9356,Journal!$C$5:$C$9356,T$8,Journal!$D$5:$D$9356,$B89)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SUMIFS(Journal!$F$5:$F$9356,Journal!$C$5:$C$9356,D$8,Journal!$D$5:$D$9356,$B91)</f>
        <v>0</v>
      </c>
      <c r="E92" s="21">
        <f>SUMIFS(Journal!$F$5:$F$9356,Journal!$C$5:$C$9356,E$8,Journal!$D$5:$D$9356,$B91)</f>
        <v>0</v>
      </c>
      <c r="F92" s="21">
        <f>SUMIFS(Journal!$F$5:$F$9356,Journal!$C$5:$C$9356,F$8,Journal!$D$5:$D$9356,$B91)</f>
        <v>0</v>
      </c>
      <c r="G92" s="21">
        <f>SUMIFS(Journal!$F$5:$F$9356,Journal!$C$5:$C$9356,G$8,Journal!$D$5:$D$9356,$B91)</f>
        <v>0</v>
      </c>
      <c r="H92" s="21">
        <f>SUMIFS(Journal!$F$5:$F$9356,Journal!$C$5:$C$9356,H$8,Journal!$D$5:$D$9356,$B91)</f>
        <v>0</v>
      </c>
      <c r="I92" s="21">
        <f>SUMIFS(Journal!$F$5:$F$9356,Journal!$C$5:$C$9356,I$8,Journal!$D$5:$D$9356,$B91)</f>
        <v>0</v>
      </c>
      <c r="J92" s="21">
        <f>SUMIFS(Journal!$F$5:$F$9356,Journal!$C$5:$C$9356,J$8,Journal!$D$5:$D$9356,$B91)</f>
        <v>0</v>
      </c>
      <c r="K92" s="21">
        <f>SUMIFS(Journal!$F$5:$F$9356,Journal!$C$5:$C$9356,K$8,Journal!$D$5:$D$9356,$B91)</f>
        <v>0</v>
      </c>
      <c r="L92" s="21">
        <f>SUMIFS(Journal!$F$5:$F$9356,Journal!$C$5:$C$9356,L$8,Journal!$D$5:$D$9356,$B91)</f>
        <v>0</v>
      </c>
      <c r="M92" s="21">
        <f>SUMIFS(Journal!$F$5:$F$9356,Journal!$C$5:$C$9356,M$8,Journal!$D$5:$D$9356,$B91)</f>
        <v>0</v>
      </c>
      <c r="N92" s="21">
        <f>SUMIFS(Journal!$F$5:$F$9356,Journal!$C$5:$C$9356,N$8,Journal!$D$5:$D$9356,$B91)</f>
        <v>0</v>
      </c>
      <c r="O92" s="21">
        <f>SUMIFS(Journal!$F$5:$F$9356,Journal!$C$5:$C$9356,O$8,Journal!$D$5:$D$9356,$B91)</f>
        <v>0</v>
      </c>
      <c r="P92" s="21">
        <f>SUMIFS(Journal!$F$5:$F$9356,Journal!$C$5:$C$9356,P$8,Journal!$D$5:$D$9356,$B91)</f>
        <v>0</v>
      </c>
      <c r="Q92" s="21">
        <f>SUMIFS(Journal!$F$5:$F$9356,Journal!$C$5:$C$9356,Q$8,Journal!$D$5:$D$9356,$B91)</f>
        <v>0</v>
      </c>
      <c r="R92" s="21">
        <f>SUMIFS(Journal!$F$5:$F$9356,Journal!$C$5:$C$9356,R$8,Journal!$D$5:$D$9356,$B91)</f>
        <v>0</v>
      </c>
      <c r="S92" s="21">
        <f>SUMIFS(Journal!$F$5:$F$9356,Journal!$C$5:$C$9356,S$8,Journal!$D$5:$D$9356,$B91)</f>
        <v>0</v>
      </c>
      <c r="T92" s="21">
        <f>SUMIFS(Journal!$F$5:$F$9356,Journal!$C$5:$C$9356,T$8,Journal!$D$5:$D$9356,$B91)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SUMIFS(Journal!$F$5:$F$9356,Journal!$C$5:$C$9356,D$8,Journal!$D$5:$D$9356,$B93)</f>
        <v>0</v>
      </c>
      <c r="E94" s="21"/>
      <c r="F94" s="21">
        <f>SUMIFS(Journal!$F$5:$F$9356,Journal!$C$5:$C$9356,F$8,Journal!$D$5:$D$9356,$B93)</f>
        <v>0</v>
      </c>
      <c r="G94" s="21"/>
      <c r="H94" s="21">
        <f>SUMIFS(Journal!$F$5:$F$9356,Journal!$C$5:$C$9356,H$8,Journal!$D$5:$D$9356,$B93)</f>
        <v>0</v>
      </c>
      <c r="I94" s="21"/>
      <c r="J94" s="21">
        <f>SUMIFS(Journal!$F$5:$F$9356,Journal!$C$5:$C$9356,J$8,Journal!$D$5:$D$9356,$B93)</f>
        <v>0</v>
      </c>
      <c r="K94" s="21"/>
      <c r="L94" s="21">
        <f>SUMIFS(Journal!$F$5:$F$9356,Journal!$C$5:$C$9356,L$8,Journal!$D$5:$D$9356,$B93)</f>
        <v>0</v>
      </c>
      <c r="M94" s="21"/>
      <c r="N94" s="21">
        <f>SUMIFS(Journal!$F$5:$F$9356,Journal!$C$5:$C$9356,N$8,Journal!$D$5:$D$9356,$B93)</f>
        <v>0</v>
      </c>
      <c r="O94" s="21"/>
      <c r="P94" s="21">
        <f>SUMIFS(Journal!$F$5:$F$9356,Journal!$C$5:$C$9356,P$8,Journal!$D$5:$D$9356,$B93)</f>
        <v>0</v>
      </c>
      <c r="Q94" s="21"/>
      <c r="R94" s="21">
        <f>SUMIFS(Journal!$F$5:$F$9356,Journal!$C$5:$C$9356,R$8,Journal!$D$5:$D$9356,$B93)</f>
        <v>0</v>
      </c>
      <c r="S94" s="21"/>
      <c r="T94" s="21">
        <f>SUMIFS(Journal!$F$5:$F$9356,Journal!$C$5:$C$9356,T$8,Journal!$D$5:$D$9356,$B93)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SUMIFS(Journal!$F$5:$F$9356,Journal!$C$5:$C$9356,D$8,Journal!$D$5:$D$9356,$B95)</f>
        <v>0</v>
      </c>
      <c r="E96" s="21"/>
      <c r="F96" s="21">
        <f>SUMIFS(Journal!$F$5:$F$9356,Journal!$C$5:$C$9356,F$8,Journal!$D$5:$D$9356,$B95)</f>
        <v>0</v>
      </c>
      <c r="G96" s="21"/>
      <c r="H96" s="21">
        <f>SUMIFS(Journal!$F$5:$F$9356,Journal!$C$5:$C$9356,H$8,Journal!$D$5:$D$9356,$B95)</f>
        <v>0</v>
      </c>
      <c r="I96" s="21"/>
      <c r="J96" s="21">
        <f>SUMIFS(Journal!$F$5:$F$9356,Journal!$C$5:$C$9356,J$8,Journal!$D$5:$D$9356,$B95)</f>
        <v>0</v>
      </c>
      <c r="K96" s="21"/>
      <c r="L96" s="21">
        <f>SUMIFS(Journal!$F$5:$F$9356,Journal!$C$5:$C$9356,L$8,Journal!$D$5:$D$9356,$B95)</f>
        <v>0</v>
      </c>
      <c r="M96" s="21"/>
      <c r="N96" s="21">
        <f>SUMIFS(Journal!$F$5:$F$9356,Journal!$C$5:$C$9356,N$8,Journal!$D$5:$D$9356,$B95)</f>
        <v>0</v>
      </c>
      <c r="O96" s="21"/>
      <c r="P96" s="21">
        <f>SUMIFS(Journal!$F$5:$F$9356,Journal!$C$5:$C$9356,P$8,Journal!$D$5:$D$9356,$B95)</f>
        <v>0</v>
      </c>
      <c r="Q96" s="21"/>
      <c r="R96" s="21">
        <f>SUMIFS(Journal!$F$5:$F$9356,Journal!$C$5:$C$9356,R$8,Journal!$D$5:$D$9356,$B95)</f>
        <v>0</v>
      </c>
      <c r="S96" s="21"/>
      <c r="T96" s="21">
        <f>SUMIFS(Journal!$F$5:$F$9356,Journal!$C$5:$C$9356,T$8,Journal!$D$5:$D$9356,$B95)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SUMIFS(Journal!$F$5:$F$9356,Journal!$C$5:$C$9356,D$8,Journal!$D$5:$D$9356,$B97)</f>
        <v>0</v>
      </c>
      <c r="E98" s="21"/>
      <c r="F98" s="21">
        <f>SUMIFS(Journal!$F$5:$F$9356,Journal!$C$5:$C$9356,F$8,Journal!$D$5:$D$9356,$B97)</f>
        <v>0</v>
      </c>
      <c r="G98" s="21"/>
      <c r="H98" s="21">
        <f>SUMIFS(Journal!$F$5:$F$9356,Journal!$C$5:$C$9356,H$8,Journal!$D$5:$D$9356,$B97)</f>
        <v>0</v>
      </c>
      <c r="I98" s="21"/>
      <c r="J98" s="21">
        <f>SUMIFS(Journal!$F$5:$F$9356,Journal!$C$5:$C$9356,J$8,Journal!$D$5:$D$9356,$B97)</f>
        <v>0</v>
      </c>
      <c r="K98" s="21"/>
      <c r="L98" s="21">
        <f>SUMIFS(Journal!$F$5:$F$9356,Journal!$C$5:$C$9356,L$8,Journal!$D$5:$D$9356,$B97)</f>
        <v>0</v>
      </c>
      <c r="M98" s="21"/>
      <c r="N98" s="21">
        <f>SUMIFS(Journal!$F$5:$F$9356,Journal!$C$5:$C$9356,N$8,Journal!$D$5:$D$9356,$B97)</f>
        <v>0</v>
      </c>
      <c r="O98" s="21"/>
      <c r="P98" s="21">
        <f>SUMIFS(Journal!$F$5:$F$9356,Journal!$C$5:$C$9356,P$8,Journal!$D$5:$D$9356,$B97)</f>
        <v>0</v>
      </c>
      <c r="Q98" s="21"/>
      <c r="R98" s="21">
        <f>SUMIFS(Journal!$F$5:$F$9356,Journal!$C$5:$C$9356,R$8,Journal!$D$5:$D$9356,$B97)</f>
        <v>0</v>
      </c>
      <c r="S98" s="21"/>
      <c r="T98" s="21">
        <f>SUMIFS(Journal!$F$5:$F$9356,Journal!$C$5:$C$9356,T$8,Journal!$D$5:$D$9356,$B97)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SUMIFS(Journal!$F$5:$F$9356,Journal!$C$5:$C$9356,D$8,Journal!$D$5:$D$9356,$B99)</f>
        <v>0</v>
      </c>
      <c r="E100" s="21"/>
      <c r="F100" s="21">
        <f>SUMIFS(Journal!$F$5:$F$9356,Journal!$C$5:$C$9356,F$8,Journal!$D$5:$D$9356,$B99)</f>
        <v>0</v>
      </c>
      <c r="G100" s="21"/>
      <c r="H100" s="21">
        <f>SUMIFS(Journal!$F$5:$F$9356,Journal!$C$5:$C$9356,H$8,Journal!$D$5:$D$9356,$B99)</f>
        <v>0</v>
      </c>
      <c r="I100" s="21"/>
      <c r="J100" s="21">
        <f>SUMIFS(Journal!$F$5:$F$9356,Journal!$C$5:$C$9356,J$8,Journal!$D$5:$D$9356,$B99)</f>
        <v>0</v>
      </c>
      <c r="K100" s="21"/>
      <c r="L100" s="21">
        <f>SUMIFS(Journal!$F$5:$F$9356,Journal!$C$5:$C$9356,L$8,Journal!$D$5:$D$9356,$B99)</f>
        <v>0</v>
      </c>
      <c r="M100" s="21"/>
      <c r="N100" s="21">
        <f>SUMIFS(Journal!$F$5:$F$9356,Journal!$C$5:$C$9356,N$8,Journal!$D$5:$D$9356,$B99)</f>
        <v>0</v>
      </c>
      <c r="O100" s="21"/>
      <c r="P100" s="21">
        <f>SUMIFS(Journal!$F$5:$F$9356,Journal!$C$5:$C$9356,P$8,Journal!$D$5:$D$9356,$B99)</f>
        <v>0</v>
      </c>
      <c r="Q100" s="21"/>
      <c r="R100" s="21">
        <f>SUMIFS(Journal!$F$5:$F$9356,Journal!$C$5:$C$9356,R$8,Journal!$D$5:$D$9356,$B99)</f>
        <v>0</v>
      </c>
      <c r="S100" s="21"/>
      <c r="T100" s="21">
        <f>SUMIFS(Journal!$F$5:$F$9356,Journal!$C$5:$C$9356,T$8,Journal!$D$5:$D$9356,$B99)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6"/>
  <sheetViews>
    <sheetView showGridLines="0" tabSelected="1" zoomScaleNormal="100" workbookViewId="0">
      <pane ySplit="3" topLeftCell="A83" activePane="bottomLeft" state="frozen"/>
      <selection pane="bottomLeft" activeCell="B90" sqref="B90"/>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72.28515625"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21"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60"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x14ac:dyDescent="0.25">
      <c r="B62" s="170">
        <v>44256</v>
      </c>
      <c r="C62" s="171">
        <f t="shared" si="0"/>
        <v>10</v>
      </c>
      <c r="D62" s="172" t="s">
        <v>39</v>
      </c>
      <c r="E62" s="173"/>
      <c r="F62" s="174">
        <v>1.0416666666666666E-2</v>
      </c>
      <c r="G62" s="155" t="s">
        <v>130</v>
      </c>
    </row>
    <row r="63" spans="2:7" ht="45" x14ac:dyDescent="0.25">
      <c r="B63" s="170">
        <v>44258</v>
      </c>
      <c r="C63" s="171">
        <f t="shared" si="0"/>
        <v>10</v>
      </c>
      <c r="D63" s="172" t="s">
        <v>37</v>
      </c>
      <c r="E63" s="173" t="s">
        <v>66</v>
      </c>
      <c r="F63" s="174">
        <v>1.7361111111111112E-2</v>
      </c>
      <c r="G63" s="155" t="s">
        <v>131</v>
      </c>
    </row>
    <row r="64" spans="2:7" ht="31.5" customHeight="1"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45" x14ac:dyDescent="0.25">
      <c r="B68" s="170">
        <v>44259</v>
      </c>
      <c r="C68" s="171">
        <f t="shared" si="0"/>
        <v>10</v>
      </c>
      <c r="D68" s="172" t="s">
        <v>39</v>
      </c>
      <c r="E68" s="173" t="s">
        <v>66</v>
      </c>
      <c r="F68" s="174" t="s">
        <v>136</v>
      </c>
      <c r="G68" s="155" t="s">
        <v>137</v>
      </c>
    </row>
    <row r="69" spans="2:7" ht="45"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60"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60" x14ac:dyDescent="0.25">
      <c r="B73" s="170">
        <v>44260</v>
      </c>
      <c r="C73" s="171">
        <f t="shared" si="0"/>
        <v>10</v>
      </c>
      <c r="D73" s="172" t="s">
        <v>71</v>
      </c>
      <c r="E73" s="173"/>
      <c r="F73" s="174">
        <v>2.7777777777777776E-2</v>
      </c>
      <c r="G73" s="155" t="s">
        <v>143</v>
      </c>
    </row>
    <row r="74" spans="2:7" x14ac:dyDescent="0.25">
      <c r="B74" s="170">
        <v>44260</v>
      </c>
      <c r="C74" s="171">
        <f t="shared" si="0"/>
        <v>10</v>
      </c>
      <c r="D74" s="172" t="s">
        <v>39</v>
      </c>
      <c r="E74" s="173" t="s">
        <v>66</v>
      </c>
      <c r="F74" s="174">
        <v>2.7777777777777776E-2</v>
      </c>
      <c r="G74" s="155" t="s">
        <v>144</v>
      </c>
    </row>
    <row r="75" spans="2:7" ht="30.75" thickBot="1" x14ac:dyDescent="0.3">
      <c r="B75" s="176">
        <v>44260</v>
      </c>
      <c r="C75" s="177">
        <f t="shared" si="0"/>
        <v>10</v>
      </c>
      <c r="D75" s="178" t="s">
        <v>50</v>
      </c>
      <c r="E75" s="179"/>
      <c r="F75" s="180">
        <v>1.0416666666666666E-2</v>
      </c>
      <c r="G75" s="188" t="s">
        <v>145</v>
      </c>
    </row>
    <row r="76" spans="2:7" x14ac:dyDescent="0.25">
      <c r="B76" s="204"/>
      <c r="C76" s="205"/>
      <c r="D76" s="206"/>
      <c r="E76" s="207"/>
      <c r="F76" s="208"/>
      <c r="G76" s="209"/>
    </row>
    <row r="77" spans="2:7" ht="75" x14ac:dyDescent="0.25">
      <c r="B77" s="165">
        <v>44263</v>
      </c>
      <c r="C77" s="166">
        <f t="shared" si="0"/>
        <v>11</v>
      </c>
      <c r="D77" s="167" t="s">
        <v>39</v>
      </c>
      <c r="E77" s="168" t="s">
        <v>66</v>
      </c>
      <c r="F77" s="169">
        <v>4.8611111111111112E-2</v>
      </c>
      <c r="G77" s="187" t="s">
        <v>146</v>
      </c>
    </row>
    <row r="78" spans="2:7" ht="75" x14ac:dyDescent="0.25">
      <c r="B78" s="170">
        <v>44263</v>
      </c>
      <c r="C78" s="171">
        <f t="shared" si="0"/>
        <v>11</v>
      </c>
      <c r="D78" s="172" t="s">
        <v>71</v>
      </c>
      <c r="E78" s="173"/>
      <c r="F78" s="174">
        <v>1.3888888888888888E-2</v>
      </c>
      <c r="G78" s="155" t="s">
        <v>147</v>
      </c>
    </row>
    <row r="79" spans="2:7" ht="60" x14ac:dyDescent="0.25">
      <c r="B79" s="170">
        <v>44263</v>
      </c>
      <c r="C79" s="171">
        <f t="shared" si="0"/>
        <v>11</v>
      </c>
      <c r="D79" s="172" t="s">
        <v>39</v>
      </c>
      <c r="E79" s="173" t="s">
        <v>66</v>
      </c>
      <c r="F79" s="174">
        <v>2.0833333333333332E-2</v>
      </c>
      <c r="G79" s="155" t="s">
        <v>148</v>
      </c>
    </row>
    <row r="80" spans="2:7" ht="45" x14ac:dyDescent="0.25">
      <c r="B80" s="170">
        <v>44263</v>
      </c>
      <c r="C80" s="171">
        <f t="shared" si="0"/>
        <v>11</v>
      </c>
      <c r="D80" s="172" t="s">
        <v>40</v>
      </c>
      <c r="E80" s="173" t="s">
        <v>66</v>
      </c>
      <c r="F80" s="174">
        <v>4.1666666666666664E-2</v>
      </c>
      <c r="G80" s="155" t="s">
        <v>150</v>
      </c>
    </row>
    <row r="81" spans="2:7" ht="30" x14ac:dyDescent="0.25">
      <c r="B81" s="170">
        <v>44263</v>
      </c>
      <c r="C81" s="171">
        <f t="shared" ref="C81:C83" si="2">WEEKNUM(B81,1)</f>
        <v>11</v>
      </c>
      <c r="D81" s="172" t="s">
        <v>50</v>
      </c>
      <c r="E81" s="173"/>
      <c r="F81" s="174">
        <v>1.7361111111111112E-2</v>
      </c>
      <c r="G81" s="155" t="s">
        <v>149</v>
      </c>
    </row>
    <row r="82" spans="2:7" ht="30" x14ac:dyDescent="0.25">
      <c r="B82" s="170">
        <v>44263</v>
      </c>
      <c r="C82" s="171">
        <f t="shared" si="2"/>
        <v>11</v>
      </c>
      <c r="D82" s="172" t="s">
        <v>42</v>
      </c>
      <c r="E82" s="173" t="s">
        <v>66</v>
      </c>
      <c r="F82" s="174">
        <v>2.7777777777777776E-2</v>
      </c>
      <c r="G82" s="155" t="s">
        <v>154</v>
      </c>
    </row>
    <row r="83" spans="2:7" ht="45" x14ac:dyDescent="0.25">
      <c r="B83" s="170">
        <v>44263</v>
      </c>
      <c r="C83" s="171">
        <f t="shared" si="2"/>
        <v>11</v>
      </c>
      <c r="D83" s="172" t="s">
        <v>62</v>
      </c>
      <c r="E83" s="173" t="s">
        <v>66</v>
      </c>
      <c r="F83" s="174">
        <v>2.7777777777777776E-2</v>
      </c>
      <c r="G83" s="155" t="s">
        <v>155</v>
      </c>
    </row>
    <row r="84" spans="2:7" ht="75" x14ac:dyDescent="0.25">
      <c r="B84" s="170">
        <v>44265</v>
      </c>
      <c r="C84" s="171">
        <f t="shared" si="0"/>
        <v>11</v>
      </c>
      <c r="D84" s="172" t="s">
        <v>40</v>
      </c>
      <c r="E84" s="173" t="s">
        <v>66</v>
      </c>
      <c r="F84" s="174">
        <v>5.5555555555555552E-2</v>
      </c>
      <c r="G84" s="155" t="s">
        <v>151</v>
      </c>
    </row>
    <row r="85" spans="2:7" ht="45" x14ac:dyDescent="0.25">
      <c r="B85" s="170">
        <v>44266</v>
      </c>
      <c r="C85" s="171">
        <f t="shared" si="0"/>
        <v>11</v>
      </c>
      <c r="D85" s="172" t="s">
        <v>39</v>
      </c>
      <c r="E85" s="173" t="s">
        <v>66</v>
      </c>
      <c r="F85" s="174">
        <v>4.1666666666666664E-2</v>
      </c>
      <c r="G85" s="155" t="s">
        <v>152</v>
      </c>
    </row>
    <row r="86" spans="2:7" ht="60" x14ac:dyDescent="0.25">
      <c r="B86" s="170">
        <v>44266</v>
      </c>
      <c r="C86" s="171">
        <f t="shared" si="0"/>
        <v>11</v>
      </c>
      <c r="D86" s="172" t="s">
        <v>40</v>
      </c>
      <c r="E86" s="173" t="s">
        <v>66</v>
      </c>
      <c r="F86" s="174">
        <v>1.3888888888888888E-2</v>
      </c>
      <c r="G86" s="155" t="s">
        <v>153</v>
      </c>
    </row>
    <row r="87" spans="2:7" x14ac:dyDescent="0.25">
      <c r="B87" s="280"/>
      <c r="C87" s="281">
        <f t="shared" si="0"/>
        <v>0</v>
      </c>
      <c r="D87" s="282"/>
      <c r="E87" s="283"/>
      <c r="F87" s="284"/>
      <c r="G87" s="285"/>
    </row>
    <row r="88" spans="2:7" ht="30" x14ac:dyDescent="0.25">
      <c r="B88" s="170">
        <v>44270</v>
      </c>
      <c r="C88" s="171">
        <f t="shared" si="0"/>
        <v>12</v>
      </c>
      <c r="D88" s="172" t="s">
        <v>41</v>
      </c>
      <c r="E88" s="173" t="s">
        <v>66</v>
      </c>
      <c r="F88" s="174">
        <v>2.0833333333333332E-2</v>
      </c>
      <c r="G88" s="155" t="s">
        <v>156</v>
      </c>
    </row>
    <row r="89" spans="2:7" x14ac:dyDescent="0.25">
      <c r="B89" s="170">
        <v>44270</v>
      </c>
      <c r="C89" s="171">
        <f t="shared" si="0"/>
        <v>12</v>
      </c>
      <c r="D89" s="172" t="s">
        <v>41</v>
      </c>
      <c r="E89" s="173" t="s">
        <v>66</v>
      </c>
      <c r="F89" s="174" t="s">
        <v>157</v>
      </c>
      <c r="G89" s="155" t="s">
        <v>158</v>
      </c>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x14ac:dyDescent="0.25">
      <c r="B118" s="170"/>
      <c r="C118" s="171">
        <f t="shared" si="0"/>
        <v>0</v>
      </c>
      <c r="D118" s="172"/>
      <c r="E118" s="173"/>
      <c r="F118" s="174"/>
      <c r="G118" s="155"/>
    </row>
    <row r="119" spans="2:7" x14ac:dyDescent="0.25">
      <c r="B119" s="170"/>
      <c r="C119" s="171">
        <f t="shared" si="0"/>
        <v>0</v>
      </c>
      <c r="D119" s="172"/>
      <c r="E119" s="173"/>
      <c r="F119" s="174"/>
      <c r="G119" s="155"/>
    </row>
    <row r="120" spans="2:7" x14ac:dyDescent="0.25">
      <c r="B120" s="170"/>
      <c r="C120" s="171">
        <f t="shared" si="0"/>
        <v>0</v>
      </c>
      <c r="D120" s="172"/>
      <c r="E120" s="173"/>
      <c r="F120" s="174"/>
      <c r="G120" s="155"/>
    </row>
    <row r="121" spans="2:7" ht="15.75" thickBot="1" x14ac:dyDescent="0.3">
      <c r="B121" s="176"/>
      <c r="C121" s="177">
        <f t="shared" si="0"/>
        <v>0</v>
      </c>
      <c r="D121" s="178"/>
      <c r="E121" s="179"/>
      <c r="F121" s="180"/>
      <c r="G121" s="188"/>
    </row>
    <row r="122" spans="2:7" x14ac:dyDescent="0.25">
      <c r="F122" s="181"/>
    </row>
    <row r="124" spans="2:7" ht="15.75" thickBot="1" x14ac:dyDescent="0.3">
      <c r="B124" s="160" t="s">
        <v>84</v>
      </c>
      <c r="F124" s="181"/>
    </row>
    <row r="125" spans="2:7" x14ac:dyDescent="0.25">
      <c r="B125" s="182" t="s">
        <v>82</v>
      </c>
      <c r="C125" s="183">
        <v>11</v>
      </c>
      <c r="D125" s="181"/>
    </row>
    <row r="126" spans="2:7" ht="15.75" thickBot="1" x14ac:dyDescent="0.3">
      <c r="B126" s="184" t="s">
        <v>83</v>
      </c>
      <c r="C126" s="185">
        <f>SUMIF(C4:C121,C125,F4:F121)</f>
        <v>0.30902777777777779</v>
      </c>
    </row>
  </sheetData>
  <mergeCells count="1">
    <mergeCell ref="B2:G2"/>
  </mergeCells>
  <conditionalFormatting sqref="E1 E3:E18 E20:E80 E84: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1:E83">
    <cfRule type="containsText" dxfId="1" priority="1" operator="containsText" text="En cours">
      <formula>NOT(ISERROR(SEARCH("En cours",E81)))</formula>
    </cfRule>
    <cfRule type="containsText" dxfId="0" priority="2" operator="containsText" text="Terminé">
      <formula>NOT(ISERROR(SEARCH("Terminé",E81)))</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D4:D121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2021-03-15T10:44:10Z</dcterms:modified>
</cp:coreProperties>
</file>