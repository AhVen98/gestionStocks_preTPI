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C51" i="6" l="1"/>
  <c r="C42" i="6" l="1"/>
  <c r="C19" i="6" l="1"/>
  <c r="C13" i="6"/>
  <c r="C4" i="6"/>
  <c r="C52" i="6" l="1"/>
  <c r="C53"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C123" i="6" s="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<sst xmlns="http://schemas.openxmlformats.org/spreadsheetml/2006/main" count="259" uniqueCount="143">
  <si>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</si>
  <si>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</si>
  <si>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</si>
  <si>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</si>
  <si>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</si>
  <si>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</si>
  <si>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</si>
  <si>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</si>
  <si>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</si>
  <si>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</si>
  <si>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</si>
  <si>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</si>
  <si>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</si>
  <si>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</si>
  <si>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</si>
  <si>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</si>
  <si>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</si>
  <si>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</si>
  <si>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</si>
  <si>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</si>
  <si>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</si>
  <si>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</si>
  <si>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</si>
  <si>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</si>
  <si>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</si>
  <si>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</si>
  <si>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</si>
  <si>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</si>
  <si>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</si>
  <si>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</si>
  <si>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</si>
  <si>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</si>
  <si>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</si>
  <si>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</si>
  <si>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</si>
  <si>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</si>
  <si>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</si>
  <si>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</si>
  <si>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</si>
  <si>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</si>
  <si>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</si>
  <si>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</si>
  <si>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</si>
  <si>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</si>
  <si>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</si>
  <si>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</si>
  <si>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</si>
  <si>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</si>
  <si>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</si>
  <si>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</si>
  <si>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</si>
  <si>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</si>
  <si>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</si>
  <si>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</si>
  <si>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</si>
  <si>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</si>
  <si>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</si>
  <si>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</si>
  <si>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</si>
  <si>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</si>
  <si>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</si>
  <si>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</si>
  <si>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</si>
  <si>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</si>
  <si>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</si>
  <si>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</si>
  <si>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</si>
  <si>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</si>
  <si>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</si>
  <si>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</si>
  <si>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</si>
  <si>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</si>
  <si>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</si>
  <si>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</si>
  <si>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</si>
  <si>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</si>
  <si>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</si>
  <si>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</si>
  <si>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</si>
  <si>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</si>
  <si>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</si>
  <si>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</si>
  <si>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</si>
  <si>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</si>
  <si>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</si>
  <si>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</si>
  <si>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</si>
  <si>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</si>
  <si>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</si>
  <si>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</si>
  <si>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</si>
  <si>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</si>
  <si>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</si>
  <si>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</si>
  <si>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</si>
  <si>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</si>
  <si>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</si>
  <si>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</si>
  <si>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</si>
  <si>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</si>
  <si>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</si>
  <si>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</si>
  <si>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</si>
  <si>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</si>
  <si>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</si>
  <si>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</si>
  <si>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</si>
  <si>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</si>
  <si>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</si>
  <si>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</si>
  <si>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</si>
  <si>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</si>
  <si>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</si>
  <si>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</si>
  <si>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</si>
  <si>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</si>
  <si>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</si>
  <si>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</si>
  <si>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</si>
  <si>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</si>
  <si>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</si>
  <si>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</si>
  <si>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</si>
  <si>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</si>
  <si>
    <t>fin du script d'insertion -&gt; toutes les tables contiennent des données. Afin d'augmenter la pertinence du projet, des données seront probablement ajoutées par la suite, mais ce qui y figure maintenant suffit pour pouvoir tester et implémenter le reste</t>
  </si>
  <si>
    <t>la connexion à la bdd est mise en place, elle devrait être utilisable -&gt; sera testé dès que possible</t>
  </si>
  <si>
    <t>mise en place du projet de test, afin de pouvoir ajouter tous les tests par la suite</t>
  </si>
  <si>
    <t>souci avec l'initialisation des données -&gt; le projet de test ne reconnaît pas mes classes courantes -&gt; impossible de trouver l'erreur, ça risque de prendre du temps</t>
  </si>
  <si>
    <t>grâce à J.Ithurbide et par ses explications, l'erreur a été trouvé -&gt; le projet a également été remanié afin de respecter une structure MVC.</t>
  </si>
  <si>
    <t>ajout du problème avec les tests unitaires au projet</t>
  </si>
  <si>
    <t>réflexion sur la meilleure manière de formuler la méthode d'ajout à la BDD</t>
  </si>
  <si>
    <t>restructuration du code lié à la base de données -&gt; les méthodes récurrentes (ouverture et fermeture de la connexion, …) sont laissées dans le fichier connexionDB. Un fichier pour contenir les requêtes a été créé à part.</t>
  </si>
  <si>
    <t>début de la mise en place d'un redirecteur dans le contrôleur pour sélectionner la bonne méthode en fonction du bouton appuyé sur l'application.</t>
  </si>
  <si>
    <t>suite de la mise en place du redirecteur</t>
  </si>
  <si>
    <t>liaison des boutons de l'application sur le redirecteur</t>
  </si>
  <si>
    <t>mise en place du formulaire d'ajout d'un objet</t>
  </si>
  <si>
    <t xml:space="preserve"> 0:35</t>
  </si>
  <si>
    <t>recherche de liaison de formulaire -&gt; en cliquand sur le bouton correspondant, un formulaire supplémentaire s'ouvre. La méthode étant trouvée, la liaison des autres formulaires sera beaucoup plus simple</t>
  </si>
  <si>
    <t>mise en place des premières requêtes SQL pour afficher des données. Recherche nécessaire pour trouver comment afficher des informations multiples sur une même ligne de données</t>
  </si>
  <si>
    <t>recherche sur la façon d'afficher plusieurs infos sur une seule ligne dans une application</t>
  </si>
  <si>
    <t xml:space="preserve"> 0:50</t>
  </si>
  <si>
    <t>essais et avancée sur la mise en place de la méthode "ajouter un objet" -&gt; le temps nécessaire est élevé, mais il s'agit de la première fonction. Une fois qu'elle est en place, le reste ira beaucoup plus vite, car un exemple sera disponible</t>
  </si>
  <si>
    <t>avancée sur le contrôleur, modification sur le visuel (bouton manquant), avancée des requêtes 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</si>
</sst>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9">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s>
  <cellStyleXfs count="1">
    <xf numFmtId="0" fontId="0" fillId="0" borderId="0"/>
  </cellStyleXfs>
  <cellXfs count="280">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14" fontId="0" fillId="15" borderId="70" xfId="0" applyNumberFormat="1" applyFill="1" applyBorder="1" applyAlignment="1" applyProtection="1">
      <alignment horizontal="center" vertical="center" wrapText="1"/>
      <protection locked="0"/>
    </xf>
    <xf numFmtId="0" fontId="0" fillId="15" borderId="20" xfId="0" applyNumberFormat="1" applyFill="1" applyBorder="1" applyAlignment="1">
      <alignment horizontal="center" vertical="center" wrapText="1"/>
    </xf>
    <xf numFmtId="0" fontId="0" fillId="15" borderId="20" xfId="0" applyFill="1" applyBorder="1" applyAlignment="1" applyProtection="1">
      <alignment horizontal="center" vertical="center" wrapText="1"/>
      <protection locked="0"/>
    </xf>
    <xf numFmtId="0" fontId="0" fillId="15" borderId="20" xfId="0" applyFill="1" applyBorder="1" applyAlignment="1">
      <alignment vertical="center" wrapText="1"/>
    </xf>
    <xf numFmtId="165" fontId="0" fillId="15" borderId="20" xfId="0" applyNumberFormat="1" applyFill="1" applyBorder="1" applyAlignment="1" applyProtection="1">
      <alignment horizontal="center" vertical="center" wrapText="1"/>
      <protection locked="0"/>
    </xf>
    <xf numFmtId="0" fontId="0" fillId="15" borderId="71" xfId="0" applyFill="1" applyBorder="1" applyAlignment="1" applyProtection="1">
      <alignment horizontal="left" vertical="top" wrapText="1"/>
      <protection locked="0"/>
    </xf>
    <xf numFmtId="14" fontId="0" fillId="0" borderId="0" xfId="0" applyNumberFormat="1" applyBorder="1" applyAlignment="1" applyProtection="1">
      <alignment horizontal="center" vertical="center" wrapText="1"/>
      <protection locked="0"/>
    </xf>
    <xf numFmtId="0" fontId="0" fillId="0" borderId="0" xfId="0" applyNumberFormat="1" applyBorder="1" applyAlignment="1">
      <alignment horizontal="center" vertical="center" wrapText="1"/>
    </xf>
    <xf numFmtId="0" fontId="0" fillId="0" borderId="0" xfId="0" applyBorder="1" applyAlignment="1" applyProtection="1">
      <alignment horizontal="center" vertical="center" wrapText="1"/>
      <protection locked="0"/>
    </xf>
    <xf numFmtId="0" fontId="0" fillId="0" borderId="0" xfId="0" applyBorder="1" applyAlignment="1">
      <alignment vertical="center" wrapText="1"/>
    </xf>
    <xf numFmtId="165" fontId="0" fillId="0" borderId="0" xfId="0" applyNumberFormat="1" applyBorder="1" applyAlignment="1" applyProtection="1">
      <alignment horizontal="center" vertical="center" wrapText="1"/>
      <protection locked="0"/>
    </xf>
    <xf numFmtId="0" fontId="0" fillId="0" borderId="0" xfId="0" applyBorder="1" applyAlignment="1" applyProtection="1">
      <alignment horizontal="left" vertical="top" wrapText="1"/>
      <protection locked="0"/>
    </xf>
    <xf numFmtId="14" fontId="0" fillId="15" borderId="77" xfId="0" applyNumberFormat="1" applyFill="1" applyBorder="1" applyAlignment="1" applyProtection="1">
      <alignment horizontal="center" vertical="center" wrapText="1"/>
      <protection locked="0"/>
    </xf>
    <xf numFmtId="0" fontId="0" fillId="15" borderId="8" xfId="0" applyNumberFormat="1" applyFill="1" applyBorder="1" applyAlignment="1">
      <alignment horizontal="center" vertical="center" wrapText="1"/>
    </xf>
    <xf numFmtId="0" fontId="0" fillId="15" borderId="8" xfId="0" applyFill="1" applyBorder="1" applyAlignment="1" applyProtection="1">
      <alignment horizontal="center" vertical="center" wrapText="1"/>
      <protection locked="0"/>
    </xf>
    <xf numFmtId="0" fontId="0" fillId="15" borderId="8" xfId="0" applyFill="1" applyBorder="1" applyAlignment="1">
      <alignment vertical="center" wrapText="1"/>
    </xf>
    <xf numFmtId="165" fontId="0" fillId="15" borderId="8" xfId="0" applyNumberFormat="1" applyFill="1" applyBorder="1" applyAlignment="1" applyProtection="1">
      <alignment horizontal="center" vertical="center" wrapText="1"/>
      <protection locked="0"/>
    </xf>
    <xf numFmtId="0" fontId="0" fillId="15" borderId="60" xfId="0" applyFill="1" applyBorder="1" applyAlignment="1" applyProtection="1">
      <alignment horizontal="left" vertical="top" wrapText="1"/>
      <protection locked="0"/>
    </xf>
    <xf numFmtId="14" fontId="0" fillId="0" borderId="14" xfId="0" applyNumberFormat="1" applyBorder="1" applyAlignment="1" applyProtection="1">
      <alignment horizontal="center" vertical="center" wrapText="1"/>
      <protection locked="0"/>
    </xf>
    <xf numFmtId="0" fontId="0" fillId="0" borderId="78" xfId="0" applyNumberFormat="1" applyBorder="1" applyAlignment="1">
      <alignment horizontal="center" vertical="center" wrapText="1"/>
    </xf>
    <xf numFmtId="0" fontId="0" fillId="0" borderId="78" xfId="0" applyBorder="1" applyAlignment="1" applyProtection="1">
      <alignment horizontal="center" vertical="center" wrapText="1"/>
      <protection locked="0"/>
    </xf>
    <xf numFmtId="0" fontId="0" fillId="0" borderId="78" xfId="0" applyBorder="1" applyAlignment="1">
      <alignment vertical="center" wrapText="1"/>
    </xf>
    <xf numFmtId="165" fontId="0" fillId="0" borderId="78" xfId="0" applyNumberFormat="1" applyBorder="1" applyAlignment="1" applyProtection="1">
      <alignment horizontal="center" vertical="center" wrapText="1"/>
      <protection locked="0"/>
    </xf>
    <xf numFmtId="0" fontId="0" fillId="0" borderId="15" xfId="0" applyBorder="1" applyAlignment="1" applyProtection="1">
      <alignment horizontal="left" vertical="top" wrapText="1"/>
      <protection locked="0"/>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2" fillId="0" borderId="8" xfId="0" applyNumberFormat="1" applyFont="1" applyBorder="1" applyAlignment="1">
      <alignment horizontal="center" vertical="center"/>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6" fillId="16" borderId="9" xfId="0" applyFont="1" applyFill="1" applyBorder="1" applyAlignment="1">
      <alignment horizontal="center" vertical="center" wrapText="1"/>
    </xf>
  </cellXfs>
  <cellStyles count="1">
    <cellStyle name="Normal" xfId="0" builtinId="0"/>
  </cellStyles>
  <dxfs count="130">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2578125"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79</v>
      </c>
      <c r="H12" s="48"/>
    </row>
    <row r="13" spans="1:8" x14ac:dyDescent="0.25">
      <c r="A13" s="48"/>
      <c r="B13" s="48"/>
      <c r="C13" s="48"/>
      <c r="D13" s="48"/>
      <c r="E13" s="48"/>
      <c r="F13" s="40"/>
      <c r="G13" s="43" t="s">
        <v>80</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62</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70</v>
      </c>
      <c r="H33" s="48"/>
    </row>
    <row r="34" spans="1:8" x14ac:dyDescent="0.25">
      <c r="A34" s="48"/>
      <c r="B34" s="48"/>
      <c r="C34" s="48"/>
      <c r="D34" s="48"/>
      <c r="E34" s="48"/>
      <c r="F34" s="40"/>
      <c r="G34" s="43" t="s">
        <v>72</v>
      </c>
      <c r="H34" s="48"/>
    </row>
    <row r="35" spans="1:8" x14ac:dyDescent="0.25">
      <c r="A35" s="48"/>
      <c r="B35" s="48"/>
      <c r="C35" s="48"/>
      <c r="D35" s="48"/>
      <c r="E35" s="48"/>
      <c r="F35" s="40"/>
      <c r="G35" s="43" t="s">
        <v>71</v>
      </c>
      <c r="H35" s="48"/>
    </row>
    <row r="36" spans="1:8" x14ac:dyDescent="0.25">
      <c r="A36" s="48"/>
      <c r="B36" s="48"/>
      <c r="C36" s="48"/>
      <c r="D36" s="48"/>
      <c r="E36" s="48"/>
      <c r="F36" s="41"/>
      <c r="G36" s="43" t="s">
        <v>69</v>
      </c>
      <c r="H36" s="48"/>
    </row>
    <row r="37" spans="1:8" x14ac:dyDescent="0.25">
      <c r="A37" s="48"/>
      <c r="B37" s="48"/>
      <c r="C37" s="48"/>
      <c r="D37" s="48"/>
      <c r="E37" s="48"/>
      <c r="F37" s="42" t="s">
        <v>23</v>
      </c>
      <c r="G37" s="42" t="s">
        <v>74</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75" activePane="bottomRight" state="frozen"/>
      <selection pane="topRight" activeCell="U1" sqref="U1"/>
      <selection pane="bottomLeft" activeCell="A9" sqref="A9"/>
      <selection pane="bottomRight" activeCell="AA48" sqref="AA48"/>
    </sheetView>
  </sheetViews>
  <sheetFormatPr baseColWidth="10" defaultColWidth="11.42578125"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34" t="s">
        <v>36</v>
      </c>
      <c r="E3" s="234"/>
      <c r="F3" s="234"/>
      <c r="G3" s="234"/>
      <c r="H3" s="234"/>
      <c r="I3" s="234"/>
      <c r="J3" s="234"/>
      <c r="K3" s="234"/>
      <c r="L3" s="234"/>
      <c r="M3" s="234"/>
      <c r="N3" s="234"/>
      <c r="O3" s="234"/>
      <c r="P3" s="234"/>
      <c r="Q3" s="234"/>
      <c r="R3" s="234"/>
      <c r="S3" s="234"/>
      <c r="T3" s="234"/>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1.1944444444444444</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0.20486111111111108</v>
      </c>
      <c r="M6" s="12"/>
      <c r="N6" s="13">
        <f>SUMIF($C$11:$C$10003,$C12,N$11:N$10003)</f>
        <v>0</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35" t="str">
        <f>Base!F3</f>
        <v>1 Analyse</v>
      </c>
      <c r="B9" s="236"/>
      <c r="C9" s="236"/>
      <c r="D9" s="236"/>
      <c r="E9" s="236"/>
      <c r="F9" s="236"/>
      <c r="G9" s="236"/>
      <c r="H9" s="236"/>
      <c r="I9" s="236"/>
      <c r="J9" s="236"/>
      <c r="K9" s="236"/>
      <c r="L9" s="236"/>
      <c r="M9" s="236"/>
      <c r="N9" s="236"/>
      <c r="O9" s="236"/>
      <c r="P9" s="236"/>
      <c r="Q9" s="236"/>
      <c r="R9" s="236"/>
      <c r="S9" s="236"/>
      <c r="T9" s="237"/>
      <c r="U9" s="16">
        <f>SUMIF($C11:$C22,$C11,U11:U22)</f>
        <v>0.2638888888888889</v>
      </c>
    </row>
    <row r="10" spans="1:21" ht="15" customHeight="1" thickBot="1" x14ac:dyDescent="0.3">
      <c r="A10" s="238"/>
      <c r="B10" s="239"/>
      <c r="C10" s="239"/>
      <c r="D10" s="239"/>
      <c r="E10" s="239"/>
      <c r="F10" s="239"/>
      <c r="G10" s="239"/>
      <c r="H10" s="239"/>
      <c r="I10" s="239"/>
      <c r="J10" s="239"/>
      <c r="K10" s="239"/>
      <c r="L10" s="239"/>
      <c r="M10" s="239"/>
      <c r="N10" s="239"/>
      <c r="O10" s="239"/>
      <c r="P10" s="239"/>
      <c r="Q10" s="239"/>
      <c r="R10" s="239"/>
      <c r="S10" s="239"/>
      <c r="T10" s="240"/>
      <c r="U10" s="17">
        <f>SUMIF($C11:$C22,$C12,U11:U22)</f>
        <v>0.21527777777777779</v>
      </c>
    </row>
    <row r="11" spans="1:21" ht="15" customHeight="1" x14ac:dyDescent="0.25">
      <c r="A11" s="37"/>
      <c r="B11" s="230"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31"/>
      <c r="C12" s="20" t="str">
        <f>A$6</f>
        <v>Réalisé</v>
      </c>
      <c r="D12" s="21">
        <f>SUMIFS(Journal!$F$5:$F$9353,Journal!$C$5:$C$9353,D$8,Journal!$D$5:$D$9353,$B11)</f>
        <v>4.1666666666666664E-2</v>
      </c>
      <c r="E12" s="22"/>
      <c r="F12" s="21"/>
      <c r="G12" s="22"/>
      <c r="H12" s="21">
        <f>SUMIFS(Journal!$F$5:$F$9353,Journal!$C$5:$C$9353,H$8,Journal!$D$5:$D$9353,$B11)</f>
        <v>0</v>
      </c>
      <c r="I12" s="23"/>
      <c r="J12" s="21">
        <f>SUMIFS(Journal!$F$5:$F$9353,Journal!$C$5:$C$9353,J$8,Journal!$D$5:$D$9353,$B11)</f>
        <v>0</v>
      </c>
      <c r="K12" s="23"/>
      <c r="L12" s="21">
        <f>SUMIFS(Journal!$F$5:$F$9353,Journal!$C$5:$C$9353,L$8,Journal!$D$5:$D$9353,$B11)</f>
        <v>0</v>
      </c>
      <c r="M12" s="22"/>
      <c r="N12" s="21">
        <f>SUMIFS(Journal!$F$5:$F$9353,Journal!$C$5:$C$9353,N$8,Journal!$D$5:$D$9353,$B11)</f>
        <v>0</v>
      </c>
      <c r="O12" s="22"/>
      <c r="P12" s="21">
        <f>SUMIFS(Journal!$F$5:$F$9353,Journal!$C$5:$C$9353,P$8,Journal!$D$5:$D$9353,$B11)</f>
        <v>0</v>
      </c>
      <c r="Q12" s="22"/>
      <c r="R12" s="21">
        <f>SUMIFS(Journal!$F$5:$F$9353,Journal!$C$5:$C$9353,R$8,Journal!$D$5:$D$9353,$B11)</f>
        <v>0</v>
      </c>
      <c r="S12" s="22"/>
      <c r="T12" s="21">
        <f>SUMIFS(Journal!$F$5:$F$9353,Journal!$C$5:$C$9353,T$8,Journal!$D$5:$D$9353,$B11)</f>
        <v>0</v>
      </c>
      <c r="U12" s="24">
        <f t="shared" si="1"/>
        <v>4.1666666666666664E-2</v>
      </c>
    </row>
    <row r="13" spans="1:21" ht="15" customHeight="1" x14ac:dyDescent="0.25">
      <c r="A13" s="37"/>
      <c r="B13" s="232"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31"/>
      <c r="C14" s="20" t="str">
        <f>A$6</f>
        <v>Réalisé</v>
      </c>
      <c r="D14" s="21">
        <f>SUMIFS(Journal!$F$5:$F$9353,Journal!$C$5:$C$9353,D$8,Journal!$D$5:$D$9353,$B13)</f>
        <v>9.375E-2</v>
      </c>
      <c r="E14" s="22"/>
      <c r="F14" s="21">
        <f>SUMIFS(Journal!$F$5:$F$9353,Journal!$C$5:$C$9353,F$8,Journal!$D$5:$D$9353,$B13)</f>
        <v>0</v>
      </c>
      <c r="G14" s="22"/>
      <c r="H14" s="21">
        <f>SUMIFS(Journal!$F$5:$F$9353,Journal!$C$5:$C$9353,H$8,Journal!$D$5:$D$9353,$B13)</f>
        <v>0</v>
      </c>
      <c r="I14" s="23"/>
      <c r="J14" s="21">
        <f>SUMIFS(Journal!$F$5:$F$9353,Journal!$C$5:$C$9353,J$8,Journal!$D$5:$D$9353,$B13)</f>
        <v>0</v>
      </c>
      <c r="K14" s="23"/>
      <c r="L14" s="21">
        <f>SUMIFS(Journal!$F$5:$F$9353,Journal!$C$5:$C$9353,L$8,Journal!$D$5:$D$9353,$B13)</f>
        <v>0</v>
      </c>
      <c r="M14" s="22"/>
      <c r="N14" s="21">
        <f>SUMIFS(Journal!$F$5:$F$9353,Journal!$C$5:$C$9353,N$8,Journal!$D$5:$D$9353,$B13)</f>
        <v>0</v>
      </c>
      <c r="O14" s="22"/>
      <c r="P14" s="21">
        <f>SUMIFS(Journal!$F$5:$F$9353,Journal!$C$5:$C$9353,P$8,Journal!$D$5:$D$9353,$B13)</f>
        <v>0</v>
      </c>
      <c r="Q14" s="22"/>
      <c r="R14" s="21">
        <f>SUMIFS(Journal!$F$5:$F$9353,Journal!$C$5:$C$9353,R$8,Journal!$D$5:$D$9353,$B13)</f>
        <v>0</v>
      </c>
      <c r="S14" s="22"/>
      <c r="T14" s="21">
        <f>SUMIFS(Journal!$F$5:$F$9353,Journal!$C$5:$C$9353,T$8,Journal!$D$5:$D$9353,$B13)</f>
        <v>0</v>
      </c>
      <c r="U14" s="24">
        <f t="shared" si="1"/>
        <v>9.375E-2</v>
      </c>
    </row>
    <row r="15" spans="1:21" ht="15" customHeight="1" x14ac:dyDescent="0.25">
      <c r="A15" s="37"/>
      <c r="B15" s="232"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31"/>
      <c r="C16" s="20" t="str">
        <f>A$6</f>
        <v>Réalisé</v>
      </c>
      <c r="D16" s="21">
        <f>SUMIFS(Journal!$F$5:$F$9353,Journal!$C$5:$C$9353,D$8,Journal!$D$5:$D$9353,$B15)</f>
        <v>2.0833333333333332E-2</v>
      </c>
      <c r="E16" s="22"/>
      <c r="F16" s="21">
        <f>SUMIFS(Journal!$F$5:$F$9353,Journal!$C$5:$C$9353,F$8,Journal!$D$5:$D$9353,$B15)</f>
        <v>0</v>
      </c>
      <c r="G16" s="22"/>
      <c r="H16" s="21">
        <f>SUMIFS(Journal!$F$5:$F$9353,Journal!$C$5:$C$9353,H$8,Journal!$D$5:$D$9353,$B15)</f>
        <v>0</v>
      </c>
      <c r="I16" s="23"/>
      <c r="J16" s="21">
        <f>SUMIFS(Journal!$F$5:$F$9353,Journal!$C$5:$C$9353,J$8,Journal!$D$5:$D$9353,$B15)</f>
        <v>0</v>
      </c>
      <c r="K16" s="23"/>
      <c r="L16" s="21">
        <f>SUMIFS(Journal!$F$5:$F$9353,Journal!$C$5:$C$9353,L$8,Journal!$D$5:$D$9353,$B15)</f>
        <v>0</v>
      </c>
      <c r="M16" s="22"/>
      <c r="N16" s="21">
        <f>SUMIFS(Journal!$F$5:$F$9353,Journal!$C$5:$C$9353,N$8,Journal!$D$5:$D$9353,$B15)</f>
        <v>0</v>
      </c>
      <c r="O16" s="22"/>
      <c r="P16" s="21">
        <f>SUMIFS(Journal!$F$5:$F$9353,Journal!$C$5:$C$9353,P$8,Journal!$D$5:$D$9353,$B15)</f>
        <v>0</v>
      </c>
      <c r="Q16" s="22"/>
      <c r="R16" s="21">
        <f>SUMIFS(Journal!$F$5:$F$9353,Journal!$C$5:$C$9353,R$8,Journal!$D$5:$D$9353,$B15)</f>
        <v>0</v>
      </c>
      <c r="S16" s="22"/>
      <c r="T16" s="21">
        <f>SUMIFS(Journal!$F$5:$F$9353,Journal!$C$5:$C$9353,T$8,Journal!$D$5:$D$9353,$B15)</f>
        <v>0</v>
      </c>
      <c r="U16" s="24">
        <f t="shared" si="1"/>
        <v>2.0833333333333332E-2</v>
      </c>
    </row>
    <row r="17" spans="1:21" ht="15" customHeight="1" x14ac:dyDescent="0.25">
      <c r="A17" s="37"/>
      <c r="B17" s="232"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31"/>
      <c r="C18" s="20" t="str">
        <f>A$6</f>
        <v>Réalisé</v>
      </c>
      <c r="D18" s="21">
        <f>SUMIFS(Journal!$F$5:$F$9353,Journal!$C$5:$C$9353,D$8,Journal!$D$5:$D$9353,$B17)</f>
        <v>2.0833333333333332E-2</v>
      </c>
      <c r="E18" s="22"/>
      <c r="F18" s="21">
        <f>SUMIFS(Journal!$F$5:$F$9353,Journal!$C$5:$C$9353,F$8,Journal!$D$5:$D$9353,$B17)</f>
        <v>0</v>
      </c>
      <c r="G18" s="23"/>
      <c r="H18" s="21">
        <f>SUMIFS(Journal!$F$5:$F$9353,Journal!$C$5:$C$9353,H$8,Journal!$D$5:$D$9353,$B17)</f>
        <v>0</v>
      </c>
      <c r="I18" s="23"/>
      <c r="J18" s="21">
        <f>SUMIFS(Journal!$F$5:$F$9353,Journal!$C$5:$C$9353,J$8,Journal!$D$5:$D$9353,$B17)</f>
        <v>0</v>
      </c>
      <c r="K18" s="22"/>
      <c r="L18" s="21">
        <f>SUMIFS(Journal!$F$5:$F$9353,Journal!$C$5:$C$9353,L$8,Journal!$D$5:$D$9353,$B17)</f>
        <v>0</v>
      </c>
      <c r="M18" s="22"/>
      <c r="N18" s="21">
        <f>SUMIFS(Journal!$F$5:$F$9353,Journal!$C$5:$C$9353,N$8,Journal!$D$5:$D$9353,$B17)</f>
        <v>0</v>
      </c>
      <c r="O18" s="22"/>
      <c r="P18" s="21">
        <f>SUMIFS(Journal!$F$5:$F$9353,Journal!$C$5:$C$9353,P$8,Journal!$D$5:$D$9353,$B17)</f>
        <v>0</v>
      </c>
      <c r="Q18" s="22"/>
      <c r="R18" s="21">
        <f>SUMIFS(Journal!$F$5:$F$9353,Journal!$C$5:$C$9353,R$8,Journal!$D$5:$D$9353,$B17)</f>
        <v>0</v>
      </c>
      <c r="S18" s="22"/>
      <c r="T18" s="21">
        <f>SUMIFS(Journal!$F$5:$F$9353,Journal!$C$5:$C$9353,T$8,Journal!$D$5:$D$9353,$B17)</f>
        <v>0</v>
      </c>
      <c r="U18" s="24">
        <f t="shared" si="1"/>
        <v>2.0833333333333332E-2</v>
      </c>
    </row>
    <row r="19" spans="1:21" ht="15" customHeight="1" x14ac:dyDescent="0.25">
      <c r="A19" s="37"/>
      <c r="B19" s="232"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31"/>
      <c r="C20" s="20" t="str">
        <f>A$6</f>
        <v>Réalisé</v>
      </c>
      <c r="D20" s="21">
        <f>SUMIFS(Journal!$F$5:$F$9353,Journal!$C$5:$C$9353,D$8,Journal!$D$5:$D$9353,$B19)</f>
        <v>2.0833333333333332E-2</v>
      </c>
      <c r="E20" s="22"/>
      <c r="F20" s="21">
        <f>SUMIFS(Journal!$F$5:$F$9353,Journal!$C$5:$C$9353,F$8,Journal!$D$5:$D$9353,$B19)</f>
        <v>0</v>
      </c>
      <c r="G20" s="23"/>
      <c r="H20" s="21">
        <f>SUMIFS(Journal!$F$5:$F$9353,Journal!$C$5:$C$9353,H$8,Journal!$D$5:$D$9353,$B19)</f>
        <v>0</v>
      </c>
      <c r="I20" s="23"/>
      <c r="J20" s="21">
        <f>SUMIFS(Journal!$F$5:$F$9353,Journal!$C$5:$C$9353,J$8,Journal!$D$5:$D$9353,$B19)</f>
        <v>0</v>
      </c>
      <c r="K20" s="22"/>
      <c r="L20" s="21">
        <f>SUMIFS(Journal!$F$5:$F$9353,Journal!$C$5:$C$9353,L$8,Journal!$D$5:$D$9353,$B19)</f>
        <v>0</v>
      </c>
      <c r="M20" s="22"/>
      <c r="N20" s="21">
        <f>SUMIFS(Journal!$F$5:$F$9353,Journal!$C$5:$C$9353,N$8,Journal!$D$5:$D$9353,$B19)</f>
        <v>0</v>
      </c>
      <c r="O20" s="22"/>
      <c r="P20" s="21">
        <f>SUMIFS(Journal!$F$5:$F$9353,Journal!$C$5:$C$9353,P$8,Journal!$D$5:$D$9353,$B19)</f>
        <v>0</v>
      </c>
      <c r="Q20" s="22"/>
      <c r="R20" s="21">
        <f>SUMIFS(Journal!$F$5:$F$9353,Journal!$C$5:$C$9353,R$8,Journal!$D$5:$D$9353,$B19)</f>
        <v>0</v>
      </c>
      <c r="S20" s="22"/>
      <c r="T20" s="21">
        <f>SUMIFS(Journal!$F$5:$F$9353,Journal!$C$5:$C$9353,T$8,Journal!$D$5:$D$9353,$B19)</f>
        <v>0</v>
      </c>
      <c r="U20" s="24">
        <f t="shared" si="1"/>
        <v>2.0833333333333332E-2</v>
      </c>
    </row>
    <row r="21" spans="1:21" ht="15" customHeight="1" x14ac:dyDescent="0.25">
      <c r="A21" s="37"/>
      <c r="B21" s="232"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33"/>
      <c r="C22" s="20" t="str">
        <f>A$6</f>
        <v>Réalisé</v>
      </c>
      <c r="D22" s="21">
        <f>SUMIFS(Journal!$F$5:$F$9353,Journal!$C$5:$C$9353,D$8,Journal!$D$5:$D$9353,$B21)</f>
        <v>0</v>
      </c>
      <c r="E22" s="22"/>
      <c r="F22" s="21">
        <f>SUMIFS(Journal!$F$5:$F$9353,Journal!$C$5:$C$9353,F$8,Journal!$D$5:$D$9353,$B21)</f>
        <v>0</v>
      </c>
      <c r="G22" s="23"/>
      <c r="H22" s="21">
        <f>SUMIFS(Journal!$F$5:$F$9353,Journal!$C$5:$C$9353,H$8,Journal!$D$5:$D$9353,$B21)</f>
        <v>1.7361111111111112E-2</v>
      </c>
      <c r="I22" s="23"/>
      <c r="J22" s="21">
        <f>SUMIFS(Journal!$F$5:$F$9353,Journal!$C$5:$C$9353,J$8,Journal!$D$5:$D$9353,$B21)</f>
        <v>0</v>
      </c>
      <c r="K22" s="22"/>
      <c r="L22" s="21">
        <f>SUMIFS(Journal!$F$5:$F$9353,Journal!$C$5:$C$9353,L$8,Journal!$D$5:$D$9353,$B21)</f>
        <v>0</v>
      </c>
      <c r="M22" s="22"/>
      <c r="N22" s="21">
        <f>SUMIFS(Journal!$F$5:$F$9353,Journal!$C$5:$C$9353,N$8,Journal!$D$5:$D$9353,$B21)</f>
        <v>0</v>
      </c>
      <c r="O22" s="22"/>
      <c r="P22" s="21">
        <f>SUMIFS(Journal!$F$5:$F$9353,Journal!$C$5:$C$9353,P$8,Journal!$D$5:$D$9353,$B21)</f>
        <v>0</v>
      </c>
      <c r="Q22" s="22"/>
      <c r="R22" s="21">
        <f>SUMIFS(Journal!$F$5:$F$9353,Journal!$C$5:$C$9353,R$8,Journal!$D$5:$D$9353,$B21)</f>
        <v>0</v>
      </c>
      <c r="S22" s="22"/>
      <c r="T22" s="21">
        <f>SUMIFS(Journal!$F$5:$F$9353,Journal!$C$5:$C$9353,T$8,Journal!$D$5:$D$9353,$B21)</f>
        <v>0</v>
      </c>
      <c r="U22" s="24">
        <f t="shared" si="1"/>
        <v>1.7361111111111112E-2</v>
      </c>
    </row>
    <row r="23" spans="1:21" ht="15" customHeight="1" x14ac:dyDescent="0.25">
      <c r="A23" s="241" t="str">
        <f>Base!F9</f>
        <v>2 Conception</v>
      </c>
      <c r="B23" s="242"/>
      <c r="C23" s="242"/>
      <c r="D23" s="242"/>
      <c r="E23" s="242"/>
      <c r="F23" s="242"/>
      <c r="G23" s="242"/>
      <c r="H23" s="242"/>
      <c r="I23" s="242"/>
      <c r="J23" s="242"/>
      <c r="K23" s="242"/>
      <c r="L23" s="242"/>
      <c r="M23" s="242"/>
      <c r="N23" s="242"/>
      <c r="O23" s="242"/>
      <c r="P23" s="242"/>
      <c r="Q23" s="242"/>
      <c r="R23" s="242"/>
      <c r="S23" s="242"/>
      <c r="T23" s="242"/>
      <c r="U23" s="16">
        <f>SUMIF($C25:$C36,$C25,U25:U36)</f>
        <v>0.25</v>
      </c>
    </row>
    <row r="24" spans="1:21" ht="15" customHeight="1" thickBot="1" x14ac:dyDescent="0.3">
      <c r="A24" s="243"/>
      <c r="B24" s="244"/>
      <c r="C24" s="244"/>
      <c r="D24" s="244"/>
      <c r="E24" s="244"/>
      <c r="F24" s="244"/>
      <c r="G24" s="244"/>
      <c r="H24" s="244"/>
      <c r="I24" s="244"/>
      <c r="J24" s="244"/>
      <c r="K24" s="244"/>
      <c r="L24" s="244"/>
      <c r="M24" s="244"/>
      <c r="N24" s="244"/>
      <c r="O24" s="244"/>
      <c r="P24" s="244"/>
      <c r="Q24" s="244"/>
      <c r="R24" s="244"/>
      <c r="S24" s="244"/>
      <c r="T24" s="244"/>
      <c r="U24" s="17">
        <f>SUMIF($C25:$C36,$C26,U25:U36)</f>
        <v>0.34722222222222221</v>
      </c>
    </row>
    <row r="25" spans="1:21" ht="15" customHeight="1" x14ac:dyDescent="0.25">
      <c r="A25" s="37"/>
      <c r="B25" s="230"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31"/>
      <c r="C26" s="20" t="str">
        <f>A$6</f>
        <v>Réalisé</v>
      </c>
      <c r="D26" s="21">
        <f>SUMIFS(Journal!$F$5:$F$9353,Journal!$C$5:$C$9353,D$8,Journal!$D$5:$D$9353,$B25)</f>
        <v>1.3888888888888888E-2</v>
      </c>
      <c r="E26" s="21">
        <f>SUMIFS(Journal!$F$5:$F$9353,Journal!$C$5:$C$9353,E$8,Journal!$D$5:$D$9353,$B25)</f>
        <v>0</v>
      </c>
      <c r="F26" s="21">
        <f>SUMIFS(Journal!$F$5:$F$9353,Journal!$C$5:$C$9353,F$8,Journal!$D$5:$D$9353,$B25)</f>
        <v>0.10416666666666666</v>
      </c>
      <c r="G26" s="21">
        <f>SUMIFS(Journal!$F$5:$F$9353,Journal!$C$5:$C$9353,G$8,Journal!$D$5:$D$9353,$B25)</f>
        <v>0</v>
      </c>
      <c r="H26" s="21">
        <f>SUMIFS(Journal!$F$5:$F$9353,Journal!$C$5:$C$9353,H$8,Journal!$D$5:$D$9353,$B25)</f>
        <v>0</v>
      </c>
      <c r="I26" s="21">
        <f>SUMIFS(Journal!$F$5:$F$9353,Journal!$C$5:$C$9353,I$8,Journal!$D$5:$D$9353,$B25)</f>
        <v>0</v>
      </c>
      <c r="J26" s="21">
        <f>SUMIFS(Journal!$F$5:$F$9353,Journal!$C$5:$C$9353,J$8,Journal!$D$5:$D$9353,$B25)</f>
        <v>0</v>
      </c>
      <c r="K26" s="21">
        <f>SUMIFS(Journal!$F$5:$F$9353,Journal!$C$5:$C$9353,K$8,Journal!$D$5:$D$9353,$B25)</f>
        <v>0</v>
      </c>
      <c r="L26" s="21">
        <f>SUMIFS(Journal!$F$5:$F$9353,Journal!$C$5:$C$9353,L$8,Journal!$D$5:$D$9353,$B25)</f>
        <v>0</v>
      </c>
      <c r="M26" s="21">
        <f>SUMIFS(Journal!$F$5:$F$9353,Journal!$C$5:$C$9353,M$8,Journal!$D$5:$D$9353,$B25)</f>
        <v>0</v>
      </c>
      <c r="N26" s="21">
        <f>SUMIFS(Journal!$F$5:$F$9353,Journal!$C$5:$C$9353,N$8,Journal!$D$5:$D$9353,$B25)</f>
        <v>0</v>
      </c>
      <c r="O26" s="21">
        <f>SUMIFS(Journal!$F$5:$F$9353,Journal!$C$5:$C$9353,O$8,Journal!$D$5:$D$9353,$B25)</f>
        <v>0</v>
      </c>
      <c r="P26" s="21">
        <f>SUMIFS(Journal!$F$5:$F$9353,Journal!$C$5:$C$9353,P$8,Journal!$D$5:$D$9353,$B25)</f>
        <v>0</v>
      </c>
      <c r="Q26" s="21">
        <f>SUMIFS(Journal!$F$5:$F$9353,Journal!$C$5:$C$9353,Q$8,Journal!$D$5:$D$9353,$B25)</f>
        <v>0</v>
      </c>
      <c r="R26" s="21">
        <f>SUMIFS(Journal!$F$5:$F$9353,Journal!$C$5:$C$9353,R$8,Journal!$D$5:$D$9353,$B25)</f>
        <v>0</v>
      </c>
      <c r="S26" s="21">
        <f>SUMIFS(Journal!$F$5:$F$9353,Journal!$C$5:$C$9353,S$8,Journal!$D$5:$D$9353,$B25)</f>
        <v>0</v>
      </c>
      <c r="T26" s="21">
        <f>SUMIFS(Journal!$F$5:$F$9353,Journal!$C$5:$C$9353,T$8,Journal!$D$5:$D$9353,$B25)</f>
        <v>0</v>
      </c>
      <c r="U26" s="66">
        <f>IF(SUM(D26:T26)=0,"",SUM(D26:T26))</f>
        <v>0.11805555555555555</v>
      </c>
    </row>
    <row r="27" spans="1:21" ht="15" customHeight="1" x14ac:dyDescent="0.25">
      <c r="A27" s="37"/>
      <c r="B27" s="232"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31"/>
      <c r="C28" s="20" t="str">
        <f>A$6</f>
        <v>Réalisé</v>
      </c>
      <c r="D28" s="21">
        <f>SUMIFS(Journal!$F$5:$F$9353,Journal!$C$5:$C$9353,D$8,Journal!$D$5:$D$9353,$B27)</f>
        <v>5.2083333333333336E-2</v>
      </c>
      <c r="E28" s="21">
        <f>SUMIFS(Journal!$F$5:$F$9353,Journal!$C$5:$C$9353,E$8,Journal!$D$5:$D$9353,$B27)</f>
        <v>0</v>
      </c>
      <c r="F28" s="21">
        <f>SUMIFS(Journal!$F$5:$F$9353,Journal!$C$5:$C$9353,F$8,Journal!$D$5:$D$9353,$B27)</f>
        <v>3.125E-2</v>
      </c>
      <c r="G28" s="21">
        <f>SUMIFS(Journal!$F$5:$F$9353,Journal!$C$5:$C$9353,G$8,Journal!$D$5:$D$9353,$B27)</f>
        <v>0</v>
      </c>
      <c r="H28" s="21">
        <f>SUMIFS(Journal!$F$5:$F$9353,Journal!$C$5:$C$9353,H$8,Journal!$D$5:$D$9353,$B27)</f>
        <v>0</v>
      </c>
      <c r="I28" s="21">
        <f>SUMIFS(Journal!$F$5:$F$9353,Journal!$C$5:$C$9353,I$8,Journal!$D$5:$D$9353,$B27)</f>
        <v>0</v>
      </c>
      <c r="J28" s="21">
        <f>SUMIFS(Journal!$F$5:$F$9353,Journal!$C$5:$C$9353,J$8,Journal!$D$5:$D$9353,$B27)</f>
        <v>0</v>
      </c>
      <c r="K28" s="21">
        <f>SUMIFS(Journal!$F$5:$F$9353,Journal!$C$5:$C$9353,K$8,Journal!$D$5:$D$9353,$B27)</f>
        <v>0</v>
      </c>
      <c r="L28" s="21">
        <f>SUMIFS(Journal!$F$5:$F$9353,Journal!$C$5:$C$9353,L$8,Journal!$D$5:$D$9353,$B27)</f>
        <v>0</v>
      </c>
      <c r="M28" s="21">
        <f>SUMIFS(Journal!$F$5:$F$9353,Journal!$C$5:$C$9353,M$8,Journal!$D$5:$D$9353,$B27)</f>
        <v>0</v>
      </c>
      <c r="N28" s="21">
        <f>SUMIFS(Journal!$F$5:$F$9353,Journal!$C$5:$C$9353,N$8,Journal!$D$5:$D$9353,$B27)</f>
        <v>0</v>
      </c>
      <c r="O28" s="21">
        <f>SUMIFS(Journal!$F$5:$F$9353,Journal!$C$5:$C$9353,O$8,Journal!$D$5:$D$9353,$B27)</f>
        <v>0</v>
      </c>
      <c r="P28" s="21">
        <f>SUMIFS(Journal!$F$5:$F$9353,Journal!$C$5:$C$9353,P$8,Journal!$D$5:$D$9353,$B27)</f>
        <v>0</v>
      </c>
      <c r="Q28" s="21">
        <f>SUMIFS(Journal!$F$5:$F$9353,Journal!$C$5:$C$9353,Q$8,Journal!$D$5:$D$9353,$B27)</f>
        <v>0</v>
      </c>
      <c r="R28" s="21">
        <f>SUMIFS(Journal!$F$5:$F$9353,Journal!$C$5:$C$9353,R$8,Journal!$D$5:$D$9353,$B27)</f>
        <v>0</v>
      </c>
      <c r="S28" s="21">
        <f>SUMIFS(Journal!$F$5:$F$9353,Journal!$C$5:$C$9353,S$8,Journal!$D$5:$D$9353,$B27)</f>
        <v>0</v>
      </c>
      <c r="T28" s="21">
        <f>SUMIFS(Journal!$F$5:$F$9353,Journal!$C$5:$C$9353,T$8,Journal!$D$5:$D$9353,$B27)</f>
        <v>0</v>
      </c>
      <c r="U28" s="66">
        <f t="shared" si="2"/>
        <v>8.3333333333333343E-2</v>
      </c>
    </row>
    <row r="29" spans="1:21" ht="15" customHeight="1" x14ac:dyDescent="0.25">
      <c r="A29" s="37"/>
      <c r="B29" s="232"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31"/>
      <c r="C30" s="20" t="str">
        <f>A$6</f>
        <v>Réalisé</v>
      </c>
      <c r="D30" s="21">
        <f>SUMIFS(Journal!$F$5:$F$9353,Journal!$C$5:$C$9353,D$8,Journal!$D$5:$D$9353,$B29)</f>
        <v>0</v>
      </c>
      <c r="E30" s="21">
        <f>SUMIFS(Journal!$F$5:$F$9353,Journal!$C$5:$C$9353,E$8,Journal!$D$5:$D$9353,$B29)</f>
        <v>0</v>
      </c>
      <c r="F30" s="21">
        <f>SUMIFS(Journal!$F$5:$F$9353,Journal!$C$5:$C$9353,F$8,Journal!$D$5:$D$9353,$B29)</f>
        <v>6.25E-2</v>
      </c>
      <c r="G30" s="21">
        <f>SUMIFS(Journal!$F$5:$F$9353,Journal!$C$5:$C$9353,G$8,Journal!$D$5:$D$9353,$B29)</f>
        <v>0</v>
      </c>
      <c r="H30" s="21">
        <f>SUMIFS(Journal!$F$5:$F$9353,Journal!$C$5:$C$9353,H$8,Journal!$D$5:$D$9353,$B29)</f>
        <v>3.472222222222222E-3</v>
      </c>
      <c r="I30" s="21">
        <f>SUMIFS(Journal!$F$5:$F$9353,Journal!$C$5:$C$9353,I$8,Journal!$D$5:$D$9353,$B29)</f>
        <v>0</v>
      </c>
      <c r="J30" s="21">
        <f>SUMIFS(Journal!$F$5:$F$9353,Journal!$C$5:$C$9353,J$8,Journal!$D$5:$D$9353,$B29)</f>
        <v>0</v>
      </c>
      <c r="K30" s="21">
        <f>SUMIFS(Journal!$F$5:$F$9353,Journal!$C$5:$C$9353,K$8,Journal!$D$5:$D$9353,$B29)</f>
        <v>0</v>
      </c>
      <c r="L30" s="21">
        <f>SUMIFS(Journal!$F$5:$F$9353,Journal!$C$5:$C$9353,L$8,Journal!$D$5:$D$9353,$B29)</f>
        <v>0</v>
      </c>
      <c r="M30" s="21">
        <f>SUMIFS(Journal!$F$5:$F$9353,Journal!$C$5:$C$9353,M$8,Journal!$D$5:$D$9353,$B29)</f>
        <v>0</v>
      </c>
      <c r="N30" s="21">
        <f>SUMIFS(Journal!$F$5:$F$9353,Journal!$C$5:$C$9353,N$8,Journal!$D$5:$D$9353,$B29)</f>
        <v>0</v>
      </c>
      <c r="O30" s="21">
        <f>SUMIFS(Journal!$F$5:$F$9353,Journal!$C$5:$C$9353,O$8,Journal!$D$5:$D$9353,$B29)</f>
        <v>0</v>
      </c>
      <c r="P30" s="21">
        <f>SUMIFS(Journal!$F$5:$F$9353,Journal!$C$5:$C$9353,P$8,Journal!$D$5:$D$9353,$B29)</f>
        <v>0</v>
      </c>
      <c r="Q30" s="21">
        <f>SUMIFS(Journal!$F$5:$F$9353,Journal!$C$5:$C$9353,Q$8,Journal!$D$5:$D$9353,$B29)</f>
        <v>0</v>
      </c>
      <c r="R30" s="21">
        <f>SUMIFS(Journal!$F$5:$F$9353,Journal!$C$5:$C$9353,R$8,Journal!$D$5:$D$9353,$B29)</f>
        <v>0</v>
      </c>
      <c r="S30" s="21">
        <f>SUMIFS(Journal!$F$5:$F$9353,Journal!$C$5:$C$9353,S$8,Journal!$D$5:$D$9353,$B29)</f>
        <v>0</v>
      </c>
      <c r="T30" s="21">
        <f>SUMIFS(Journal!$F$5:$F$9353,Journal!$C$5:$C$9353,T$8,Journal!$D$5:$D$9353,$B29)</f>
        <v>0</v>
      </c>
      <c r="U30" s="66">
        <f t="shared" si="2"/>
        <v>6.5972222222222224E-2</v>
      </c>
    </row>
    <row r="31" spans="1:21" ht="15" customHeight="1" x14ac:dyDescent="0.25">
      <c r="A31" s="37"/>
      <c r="B31" s="232"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31"/>
      <c r="C32" s="20" t="str">
        <f>A$6</f>
        <v>Réalisé</v>
      </c>
      <c r="D32" s="21">
        <f>SUMIFS(Journal!$F$5:$F$9353,Journal!$C$5:$C$9353,D$8,Journal!$D$5:$D$9353,$B31)</f>
        <v>0</v>
      </c>
      <c r="E32" s="21">
        <f>SUMIFS(Journal!$F$5:$F$9353,Journal!$C$5:$C$9353,E$8,Journal!$D$5:$D$9353,$B31)</f>
        <v>0</v>
      </c>
      <c r="F32" s="21">
        <f>SUMIFS(Journal!$F$5:$F$9353,Journal!$C$5:$C$9353,F$8,Journal!$D$5:$D$9353,$B31)</f>
        <v>1.3888888888888888E-2</v>
      </c>
      <c r="G32" s="21">
        <f>SUMIFS(Journal!$F$5:$F$9353,Journal!$C$5:$C$9353,G$8,Journal!$D$5:$D$9353,$B31)</f>
        <v>0</v>
      </c>
      <c r="H32" s="21">
        <f>SUMIFS(Journal!$F$5:$F$9353,Journal!$C$5:$C$9353,H$8,Journal!$D$5:$D$9353,$B31)</f>
        <v>0</v>
      </c>
      <c r="I32" s="21">
        <f>SUMIFS(Journal!$F$5:$F$9353,Journal!$C$5:$C$9353,I$8,Journal!$D$5:$D$9353,$B31)</f>
        <v>0</v>
      </c>
      <c r="J32" s="21">
        <f>SUMIFS(Journal!$F$5:$F$9353,Journal!$C$5:$C$9353,J$8,Journal!$D$5:$D$9353,$B31)</f>
        <v>0</v>
      </c>
      <c r="K32" s="21">
        <f>SUMIFS(Journal!$F$5:$F$9353,Journal!$C$5:$C$9353,K$8,Journal!$D$5:$D$9353,$B31)</f>
        <v>0</v>
      </c>
      <c r="L32" s="21">
        <f>SUMIFS(Journal!$F$5:$F$9353,Journal!$C$5:$C$9353,L$8,Journal!$D$5:$D$9353,$B31)</f>
        <v>0</v>
      </c>
      <c r="M32" s="21">
        <f>SUMIFS(Journal!$F$5:$F$9353,Journal!$C$5:$C$9353,M$8,Journal!$D$5:$D$9353,$B31)</f>
        <v>0</v>
      </c>
      <c r="N32" s="21">
        <f>SUMIFS(Journal!$F$5:$F$9353,Journal!$C$5:$C$9353,N$8,Journal!$D$5:$D$9353,$B31)</f>
        <v>0</v>
      </c>
      <c r="O32" s="21">
        <f>SUMIFS(Journal!$F$5:$F$9353,Journal!$C$5:$C$9353,O$8,Journal!$D$5:$D$9353,$B31)</f>
        <v>0</v>
      </c>
      <c r="P32" s="21">
        <f>SUMIFS(Journal!$F$5:$F$9353,Journal!$C$5:$C$9353,P$8,Journal!$D$5:$D$9353,$B31)</f>
        <v>0</v>
      </c>
      <c r="Q32" s="21">
        <f>SUMIFS(Journal!$F$5:$F$9353,Journal!$C$5:$C$9353,Q$8,Journal!$D$5:$D$9353,$B31)</f>
        <v>0</v>
      </c>
      <c r="R32" s="21">
        <f>SUMIFS(Journal!$F$5:$F$9353,Journal!$C$5:$C$9353,R$8,Journal!$D$5:$D$9353,$B31)</f>
        <v>0</v>
      </c>
      <c r="S32" s="21">
        <f>SUMIFS(Journal!$F$5:$F$9353,Journal!$C$5:$C$9353,S$8,Journal!$D$5:$D$9353,$B31)</f>
        <v>0</v>
      </c>
      <c r="T32" s="21">
        <f>SUMIFS(Journal!$F$5:$F$9353,Journal!$C$5:$C$9353,T$8,Journal!$D$5:$D$9353,$B31)</f>
        <v>0</v>
      </c>
      <c r="U32" s="66">
        <f t="shared" si="2"/>
        <v>1.3888888888888888E-2</v>
      </c>
    </row>
    <row r="33" spans="1:21" ht="15" customHeight="1" x14ac:dyDescent="0.25">
      <c r="A33" s="37"/>
      <c r="B33" s="232"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31"/>
      <c r="C34" s="20" t="str">
        <f>A$6</f>
        <v>Réalisé</v>
      </c>
      <c r="D34" s="21">
        <f>SUMIFS(Journal!$F$5:$F$9353,Journal!$C$5:$C$9353,D$8,Journal!$D$5:$D$9353,$B33)</f>
        <v>0</v>
      </c>
      <c r="E34" s="21">
        <f>SUMIFS(Journal!$F$5:$F$9353,Journal!$C$5:$C$9353,E$8,Journal!$D$5:$D$9353,$B33)</f>
        <v>0</v>
      </c>
      <c r="F34" s="21">
        <f>SUMIFS(Journal!$F$5:$F$9353,Journal!$C$5:$C$9353,F$8,Journal!$D$5:$D$9353,$B33)</f>
        <v>0</v>
      </c>
      <c r="G34" s="21">
        <f>SUMIFS(Journal!$F$5:$F$9353,Journal!$C$5:$C$9353,G$8,Journal!$D$5:$D$9353,$B33)</f>
        <v>0</v>
      </c>
      <c r="H34" s="21">
        <f>SUMIFS(Journal!$F$5:$F$9353,Journal!$C$5:$C$9353,H$8,Journal!$D$5:$D$9353,$B33)</f>
        <v>6.5972222222222224E-2</v>
      </c>
      <c r="I34" s="21">
        <f>SUMIFS(Journal!$F$5:$F$9353,Journal!$C$5:$C$9353,I$8,Journal!$D$5:$D$9353,$B33)</f>
        <v>0</v>
      </c>
      <c r="J34" s="21">
        <f>SUMIFS(Journal!$F$5:$F$9353,Journal!$C$5:$C$9353,J$8,Journal!$D$5:$D$9353,$B33)</f>
        <v>0</v>
      </c>
      <c r="K34" s="21">
        <f>SUMIFS(Journal!$F$5:$F$9353,Journal!$C$5:$C$9353,K$8,Journal!$D$5:$D$9353,$B33)</f>
        <v>0</v>
      </c>
      <c r="L34" s="21">
        <f>SUMIFS(Journal!$F$5:$F$9353,Journal!$C$5:$C$9353,L$8,Journal!$D$5:$D$9353,$B33)</f>
        <v>0</v>
      </c>
      <c r="M34" s="21">
        <f>SUMIFS(Journal!$F$5:$F$9353,Journal!$C$5:$C$9353,M$8,Journal!$D$5:$D$9353,$B33)</f>
        <v>0</v>
      </c>
      <c r="N34" s="21">
        <f>SUMIFS(Journal!$F$5:$F$9353,Journal!$C$5:$C$9353,N$8,Journal!$D$5:$D$9353,$B33)</f>
        <v>0</v>
      </c>
      <c r="O34" s="21">
        <f>SUMIFS(Journal!$F$5:$F$9353,Journal!$C$5:$C$9353,O$8,Journal!$D$5:$D$9353,$B33)</f>
        <v>0</v>
      </c>
      <c r="P34" s="21">
        <f>SUMIFS(Journal!$F$5:$F$9353,Journal!$C$5:$C$9353,P$8,Journal!$D$5:$D$9353,$B33)</f>
        <v>0</v>
      </c>
      <c r="Q34" s="21">
        <f>SUMIFS(Journal!$F$5:$F$9353,Journal!$C$5:$C$9353,Q$8,Journal!$D$5:$D$9353,$B33)</f>
        <v>0</v>
      </c>
      <c r="R34" s="21">
        <f>SUMIFS(Journal!$F$5:$F$9353,Journal!$C$5:$C$9353,R$8,Journal!$D$5:$D$9353,$B33)</f>
        <v>0</v>
      </c>
      <c r="S34" s="21">
        <f>SUMIFS(Journal!$F$5:$F$9353,Journal!$C$5:$C$9353,S$8,Journal!$D$5:$D$9353,$B33)</f>
        <v>0</v>
      </c>
      <c r="T34" s="21">
        <f>SUMIFS(Journal!$F$5:$F$9353,Journal!$C$5:$C$9353,T$8,Journal!$D$5:$D$9353,$B33)</f>
        <v>0</v>
      </c>
      <c r="U34" s="66">
        <f t="shared" si="2"/>
        <v>6.5972222222222224E-2</v>
      </c>
    </row>
    <row r="35" spans="1:21" ht="15" customHeight="1" x14ac:dyDescent="0.25">
      <c r="A35" s="37"/>
      <c r="B35" s="232"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33"/>
      <c r="C36" s="20" t="str">
        <f>A$6</f>
        <v>Réalisé</v>
      </c>
      <c r="D36" s="21">
        <f>SUMIFS(Journal!$F$5:$F$9353,Journal!$C$5:$C$9353,D$8,Journal!$D$5:$D$9353,$B35)</f>
        <v>0</v>
      </c>
      <c r="E36" s="21">
        <f>SUMIFS(Journal!$F$5:$F$9353,Journal!$C$5:$C$9353,E$8,Journal!$D$5:$D$9353,$B35)</f>
        <v>0</v>
      </c>
      <c r="F36" s="21">
        <f>SUMIFS(Journal!$F$5:$F$9353,Journal!$C$5:$C$9353,F$8,Journal!$D$5:$D$9353,$B35)</f>
        <v>0</v>
      </c>
      <c r="G36" s="21">
        <f>SUMIFS(Journal!$F$5:$F$9353,Journal!$C$5:$C$9353,G$8,Journal!$D$5:$D$9353,$B35)</f>
        <v>0</v>
      </c>
      <c r="H36" s="21">
        <f>SUMIFS(Journal!$F$5:$F$9353,Journal!$C$5:$C$9353,H$8,Journal!$D$5:$D$9353,$B35)</f>
        <v>0</v>
      </c>
      <c r="I36" s="21">
        <f>SUMIFS(Journal!$F$5:$F$9353,Journal!$C$5:$C$9353,I$8,Journal!$D$5:$D$9353,$B35)</f>
        <v>0</v>
      </c>
      <c r="J36" s="21">
        <f>SUMIFS(Journal!$F$5:$F$9353,Journal!$C$5:$C$9353,J$8,Journal!$D$5:$D$9353,$B35)</f>
        <v>0</v>
      </c>
      <c r="K36" s="21">
        <f>SUMIFS(Journal!$F$5:$F$9353,Journal!$C$5:$C$9353,K$8,Journal!$D$5:$D$9353,$B35)</f>
        <v>0</v>
      </c>
      <c r="L36" s="21">
        <f>SUMIFS(Journal!$F$5:$F$9353,Journal!$C$5:$C$9353,L$8,Journal!$D$5:$D$9353,$B35)</f>
        <v>0</v>
      </c>
      <c r="M36" s="21">
        <f>SUMIFS(Journal!$F$5:$F$9353,Journal!$C$5:$C$9353,M$8,Journal!$D$5:$D$9353,$B35)</f>
        <v>0</v>
      </c>
      <c r="N36" s="21">
        <f>SUMIFS(Journal!$F$5:$F$9353,Journal!$C$5:$C$9353,N$8,Journal!$D$5:$D$9353,$B35)</f>
        <v>0</v>
      </c>
      <c r="O36" s="21">
        <f>SUMIFS(Journal!$F$5:$F$9353,Journal!$C$5:$C$9353,O$8,Journal!$D$5:$D$9353,$B35)</f>
        <v>0</v>
      </c>
      <c r="P36" s="21">
        <f>SUMIFS(Journal!$F$5:$F$9353,Journal!$C$5:$C$9353,P$8,Journal!$D$5:$D$9353,$B35)</f>
        <v>0</v>
      </c>
      <c r="Q36" s="21">
        <f>SUMIFS(Journal!$F$5:$F$9353,Journal!$C$5:$C$9353,Q$8,Journal!$D$5:$D$9353,$B35)</f>
        <v>0</v>
      </c>
      <c r="R36" s="21">
        <f>SUMIFS(Journal!$F$5:$F$9353,Journal!$C$5:$C$9353,R$8,Journal!$D$5:$D$9353,$B35)</f>
        <v>0</v>
      </c>
      <c r="S36" s="21">
        <f>SUMIFS(Journal!$F$5:$F$9353,Journal!$C$5:$C$9353,S$8,Journal!$D$5:$D$9353,$B35)</f>
        <v>0</v>
      </c>
      <c r="T36" s="21">
        <f>SUMIFS(Journal!$F$5:$F$9353,Journal!$C$5:$C$9353,T$8,Journal!$D$5:$D$9353,$B35)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0.19444444444444442</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SUMIFS(Journal!$F$5:$F$9353,Journal!$C$5:$C$9353,D$8,Journal!$D$5:$D$9353,$B39)</f>
        <v>0</v>
      </c>
      <c r="E40" s="21"/>
      <c r="F40" s="21">
        <f>SUMIFS(Journal!$F$5:$F$9353,Journal!$C$5:$C$9353,F$8,Journal!$D$5:$D$9353,$B39)</f>
        <v>1.0416666666666666E-2</v>
      </c>
      <c r="G40" s="21"/>
      <c r="H40" s="21">
        <f>SUMIFS(Journal!$F$5:$F$9353,Journal!$C$5:$C$9353,H$8,Journal!$D$5:$D$9353,$B39)</f>
        <v>6.25E-2</v>
      </c>
      <c r="I40" s="21"/>
      <c r="J40" s="21">
        <f>SUMIFS(Journal!$F$5:$F$9353,Journal!$C$5:$C$9353,J$8,Journal!$D$5:$D$9353,$B39)</f>
        <v>0</v>
      </c>
      <c r="K40" s="21"/>
      <c r="L40" s="21">
        <f>SUMIFS(Journal!$F$5:$F$9353,Journal!$C$5:$C$9353,L$8,Journal!$D$5:$D$9353,$B39)</f>
        <v>0.10416666666666666</v>
      </c>
      <c r="M40" s="21"/>
      <c r="N40" s="21">
        <f>SUMIFS(Journal!$F$5:$F$9353,Journal!$C$5:$C$9353,N$8,Journal!$D$5:$D$9353,$B39)</f>
        <v>0</v>
      </c>
      <c r="O40" s="21"/>
      <c r="P40" s="21">
        <f>SUMIFS(Journal!$F$5:$F$9353,Journal!$C$5:$C$9353,P$8,Journal!$D$5:$D$9353,$B39)</f>
        <v>0</v>
      </c>
      <c r="Q40" s="21"/>
      <c r="R40" s="21">
        <f>SUMIFS(Journal!$F$5:$F$9353,Journal!$C$5:$C$9353,R$8,Journal!$D$5:$D$9353,$B39)</f>
        <v>0</v>
      </c>
      <c r="S40" s="21"/>
      <c r="T40" s="21">
        <f>SUMIFS(Journal!$F$5:$F$9353,Journal!$C$5:$C$9353,T$8,Journal!$D$5:$D$9353,$B39)</f>
        <v>0</v>
      </c>
      <c r="U40" s="24">
        <f>IF(SUM(D40:T40)=0,"",SUM(D40:T40))</f>
        <v>0.17708333333333331</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SUMIFS(Journal!$F$5:$F$9353,Journal!$C$5:$C$9353,D$8,Journal!$D$5:$D$9353,$B41)</f>
        <v>0</v>
      </c>
      <c r="E42" s="21"/>
      <c r="F42" s="21">
        <f>SUMIFS(Journal!$F$5:$F$9353,Journal!$C$5:$C$9353,F$8,Journal!$D$5:$D$9353,$B41)</f>
        <v>0</v>
      </c>
      <c r="G42" s="21"/>
      <c r="H42" s="21">
        <f>SUMIFS(Journal!$F$5:$F$9353,Journal!$C$5:$C$9353,H$8,Journal!$D$5:$D$9353,$B41)</f>
        <v>1.7361111111111112E-2</v>
      </c>
      <c r="I42" s="21"/>
      <c r="J42" s="21">
        <f>SUMIFS(Journal!$F$5:$F$9353,Journal!$C$5:$C$9353,J$8,Journal!$D$5:$D$9353,$B41)</f>
        <v>0</v>
      </c>
      <c r="K42" s="21"/>
      <c r="L42" s="21">
        <f>SUMIFS(Journal!$F$5:$F$9353,Journal!$C$5:$C$9353,L$8,Journal!$D$5:$D$9353,$B41)</f>
        <v>0</v>
      </c>
      <c r="M42" s="21"/>
      <c r="N42" s="21">
        <f>SUMIFS(Journal!$F$5:$F$9353,Journal!$C$5:$C$9353,N$8,Journal!$D$5:$D$9353,$B41)</f>
        <v>0</v>
      </c>
      <c r="O42" s="21"/>
      <c r="P42" s="21">
        <f>SUMIFS(Journal!$F$5:$F$9353,Journal!$C$5:$C$9353,P$8,Journal!$D$5:$D$9353,$B41)</f>
        <v>0</v>
      </c>
      <c r="Q42" s="21"/>
      <c r="R42" s="21">
        <f>SUMIFS(Journal!$F$5:$F$9353,Journal!$C$5:$C$9353,R$8,Journal!$D$5:$D$9353,$B41)</f>
        <v>0</v>
      </c>
      <c r="S42" s="21"/>
      <c r="T42" s="21">
        <f>SUMIFS(Journal!$F$5:$F$9353,Journal!$C$5:$C$9353,T$8,Journal!$D$5:$D$9353,$B41)</f>
        <v>0</v>
      </c>
      <c r="U42" s="24">
        <f>IF(SUM(D42:T42)=0,"",SUM(D42:T42))</f>
        <v>1.7361111111111112E-2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SUMIFS(Journal!$F$5:$F$9353,Journal!$C$5:$C$9353,D$8,Journal!$D$5:$D$9353,$B43)</f>
        <v>0</v>
      </c>
      <c r="E44" s="21"/>
      <c r="F44" s="21">
        <f>SUMIFS(Journal!$F$5:$F$9353,Journal!$C$5:$C$9353,F$8,Journal!$D$5:$D$9353,$B43)</f>
        <v>0</v>
      </c>
      <c r="G44" s="21"/>
      <c r="H44" s="21">
        <f>SUMIFS(Journal!$F$5:$F$9353,Journal!$C$5:$C$9353,H$8,Journal!$D$5:$D$9353,$B43)</f>
        <v>0.14930555555555555</v>
      </c>
      <c r="I44" s="21"/>
      <c r="J44" s="21">
        <f>SUMIFS(Journal!$F$5:$F$9353,Journal!$C$5:$C$9353,J$8,Journal!$D$5:$D$9353,$B43)</f>
        <v>0</v>
      </c>
      <c r="K44" s="21"/>
      <c r="L44" s="21"/>
      <c r="M44" s="21"/>
      <c r="N44" s="21">
        <f>SUMIFS(Journal!$F$5:$F$9353,Journal!$C$5:$C$9353,N$8,Journal!$D$5:$D$9353,$B43)</f>
        <v>0</v>
      </c>
      <c r="O44" s="21"/>
      <c r="P44" s="21">
        <f>SUMIFS(Journal!$F$5:$F$9353,Journal!$C$5:$C$9353,P$8,Journal!$D$5:$D$9353,$B43)</f>
        <v>0</v>
      </c>
      <c r="Q44" s="21"/>
      <c r="R44" s="21">
        <f>SUMIFS(Journal!$F$5:$F$9353,Journal!$C$5:$C$9353,R$8,Journal!$D$5:$D$9353,$B43)</f>
        <v>0</v>
      </c>
      <c r="S44" s="21"/>
      <c r="T44" s="21">
        <f>SUMIFS(Journal!$F$5:$F$9353,Journal!$C$5:$C$9353,T$8,Journal!$D$5:$D$9353,$B43)</f>
        <v>0</v>
      </c>
      <c r="U44" s="24">
        <f t="shared" ref="U44:U58" si="3">IF(SUM(D44:T44)=0,"",SUM(D44:T44))</f>
        <v>0.14930555555555555</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SUMIFS(Journal!$F$5:$F$9353,Journal!$C$5:$C$9353,D$8,Journal!$D$5:$D$9353,$B45)</f>
        <v>0</v>
      </c>
      <c r="E46" s="21"/>
      <c r="F46" s="21">
        <f>SUMIFS(Journal!$F$5:$F$9353,Journal!$C$5:$C$9353,F$8,Journal!$D$5:$D$9353,$B45)</f>
        <v>0</v>
      </c>
      <c r="G46" s="21"/>
      <c r="H46" s="21">
        <f>SUMIFS(Journal!$F$5:$F$9353,Journal!$C$5:$C$9353,H$8,Journal!$D$5:$D$9353,$B45)</f>
        <v>0</v>
      </c>
      <c r="I46" s="21"/>
      <c r="J46" s="21">
        <f>SUMIFS(Journal!$F$5:$F$9353,Journal!$C$5:$C$9353,J$8,Journal!$D$5:$D$9353,$B45)</f>
        <v>0</v>
      </c>
      <c r="K46" s="21"/>
      <c r="L46" s="21"/>
      <c r="M46" s="21"/>
      <c r="N46" s="21"/>
      <c r="O46" s="21"/>
      <c r="P46" s="21">
        <f>SUMIFS(Journal!$F$5:$F$9353,Journal!$C$5:$C$9353,P$8,Journal!$D$5:$D$9353,$B45)</f>
        <v>0</v>
      </c>
      <c r="Q46" s="21"/>
      <c r="R46" s="21">
        <f>SUMIFS(Journal!$F$5:$F$9353,Journal!$C$5:$C$9353,R$8,Journal!$D$5:$D$9353,$B45)</f>
        <v>0</v>
      </c>
      <c r="S46" s="21"/>
      <c r="T46" s="21">
        <f>SUMIFS(Journal!$F$5:$F$9353,Journal!$C$5:$C$9353,T$8,Journal!$D$5:$D$9353,$B45)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SUMIFS(Journal!$F$5:$F$9353,Journal!$C$5:$C$9353,D$8,Journal!$D$5:$D$9353,$B47)</f>
        <v>0</v>
      </c>
      <c r="E48" s="21"/>
      <c r="F48" s="21">
        <f>SUMIFS(Journal!$F$5:$F$9353,Journal!$C$5:$C$9353,F$8,Journal!$D$5:$D$9353,$B47)</f>
        <v>0</v>
      </c>
      <c r="G48" s="21"/>
      <c r="H48" s="21">
        <f>SUMIFS(Journal!$F$5:$F$9353,Journal!$C$5:$C$9353,H$8,Journal!$D$5:$D$9353,$B47)</f>
        <v>0</v>
      </c>
      <c r="I48" s="21"/>
      <c r="J48" s="21">
        <f>SUMIFS(Journal!$F$5:$F$9353,Journal!$C$5:$C$9353,J$8,Journal!$D$5:$D$9353,$B47)</f>
        <v>0</v>
      </c>
      <c r="K48" s="21"/>
      <c r="L48" s="21">
        <f>SUMIFS(Journal!$F$5:$F$9353,Journal!$C$5:$C$9353,L$8,Journal!$D$5:$D$9353,$B47)</f>
        <v>2.7777777777777776E-2</v>
      </c>
      <c r="M48" s="21"/>
      <c r="N48" s="21">
        <f>SUMIFS(Journal!$F$5:$F$9353,Journal!$C$5:$C$9353,N$8,Journal!$D$5:$D$9353,$B47)</f>
        <v>0</v>
      </c>
      <c r="O48" s="21"/>
      <c r="P48" s="21">
        <f>SUMIFS(Journal!$F$5:$F$9353,Journal!$C$5:$C$9353,P$8,Journal!$D$5:$D$9353,$B47)</f>
        <v>0</v>
      </c>
      <c r="Q48" s="21"/>
      <c r="R48" s="21">
        <f>SUMIFS(Journal!$F$5:$F$9353,Journal!$C$5:$C$9353,R$8,Journal!$D$5:$D$9353,$B47)</f>
        <v>0</v>
      </c>
      <c r="S48" s="21"/>
      <c r="T48" s="21">
        <f>SUMIFS(Journal!$F$5:$F$9353,Journal!$C$5:$C$9353,T$8,Journal!$D$5:$D$9353,$B47)</f>
        <v>0</v>
      </c>
      <c r="U48" s="24">
        <f t="shared" si="3"/>
        <v>2.7777777777777776E-2</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SUMIFS(Journal!$F$5:$F$9353,Journal!$C$5:$C$9353,D$8,Journal!$D$5:$D$9353,$B49)</f>
        <v>0</v>
      </c>
      <c r="E50" s="21">
        <f>SUMIFS(Journal!$F$5:$F$9353,Journal!$C$5:$C$9353,E$8,Journal!$D$5:$D$9353,$B49)</f>
        <v>0</v>
      </c>
      <c r="F50" s="21">
        <f>SUMIFS(Journal!$F$5:$F$9353,Journal!$C$5:$C$9353,F$8,Journal!$D$5:$D$9353,$B49)</f>
        <v>0</v>
      </c>
      <c r="G50" s="21">
        <f>SUMIFS(Journal!$F$5:$F$9353,Journal!$C$5:$C$9353,G$8,Journal!$D$5:$D$9353,$B49)</f>
        <v>0</v>
      </c>
      <c r="H50" s="21">
        <f>SUMIFS(Journal!$F$5:$F$9353,Journal!$C$5:$C$9353,H$8,Journal!$D$5:$D$9353,$B49)</f>
        <v>0</v>
      </c>
      <c r="I50" s="21">
        <f>SUMIFS(Journal!$F$5:$F$9353,Journal!$C$5:$C$9353,I$8,Journal!$D$5:$D$9353,$B49)</f>
        <v>0</v>
      </c>
      <c r="J50" s="21">
        <f>SUMIFS(Journal!$F$5:$F$9353,Journal!$C$5:$C$9353,J$8,Journal!$D$5:$D$9353,$B49)</f>
        <v>0</v>
      </c>
      <c r="K50" s="21">
        <f>SUMIFS(Journal!$F$5:$F$9353,Journal!$C$5:$C$9353,K$8,Journal!$D$5:$D$9353,$B49)</f>
        <v>0</v>
      </c>
      <c r="L50" s="21">
        <f>SUMIFS(Journal!$F$5:$F$9353,Journal!$C$5:$C$9353,L$8,Journal!$D$5:$D$9353,$B49)</f>
        <v>0</v>
      </c>
      <c r="M50" s="21">
        <f>SUMIFS(Journal!$F$5:$F$9353,Journal!$C$5:$C$9353,M$8,Journal!$D$5:$D$9353,$B49)</f>
        <v>0</v>
      </c>
      <c r="N50" s="21">
        <f>SUMIFS(Journal!$F$5:$F$9353,Journal!$C$5:$C$9353,N$8,Journal!$D$5:$D$9353,$B49)</f>
        <v>0</v>
      </c>
      <c r="O50" s="21">
        <f>SUMIFS(Journal!$F$5:$F$9353,Journal!$C$5:$C$9353,O$8,Journal!$D$5:$D$9353,$B49)</f>
        <v>0</v>
      </c>
      <c r="P50" s="21">
        <f>SUMIFS(Journal!$F$5:$F$9353,Journal!$C$5:$C$9353,P$8,Journal!$D$5:$D$9353,$B49)</f>
        <v>0</v>
      </c>
      <c r="Q50" s="21">
        <f>SUMIFS(Journal!$F$5:$F$9353,Journal!$C$5:$C$9353,Q$8,Journal!$D$5:$D$9353,$B49)</f>
        <v>0</v>
      </c>
      <c r="R50" s="21">
        <f>SUMIFS(Journal!$F$5:$F$9353,Journal!$C$5:$C$9353,R$8,Journal!$D$5:$D$9353,$B49)</f>
        <v>0</v>
      </c>
      <c r="S50" s="21">
        <f>SUMIFS(Journal!$F$5:$F$9353,Journal!$C$5:$C$9353,S$8,Journal!$D$5:$D$9353,$B49)</f>
        <v>0</v>
      </c>
      <c r="T50" s="21">
        <f>SUMIFS(Journal!$F$5:$F$9353,Journal!$C$5:$C$9353,T$8,Journal!$D$5:$D$9353,$B49)</f>
        <v>0</v>
      </c>
      <c r="U50" s="24" t="str">
        <f t="shared" si="3"/>
        <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SUMIFS(Journal!$F$5:$F$9353,Journal!$C$5:$C$9353,D$8,Journal!$D$5:$D$9353,$B51)</f>
        <v>0</v>
      </c>
      <c r="E52" s="21">
        <f>SUMIFS(Journal!$F$5:$F$9353,Journal!$C$5:$C$9353,E$8,Journal!$D$5:$D$9353,$B51)</f>
        <v>0</v>
      </c>
      <c r="F52" s="21">
        <f>SUMIFS(Journal!$F$5:$F$9353,Journal!$C$5:$C$9353,F$8,Journal!$D$5:$D$9353,$B51)</f>
        <v>0</v>
      </c>
      <c r="G52" s="21">
        <f>SUMIFS(Journal!$F$5:$F$9353,Journal!$C$5:$C$9353,G$8,Journal!$D$5:$D$9353,$B51)</f>
        <v>0</v>
      </c>
      <c r="H52" s="21">
        <f>SUMIFS(Journal!$F$5:$F$9353,Journal!$C$5:$C$9353,H$8,Journal!$D$5:$D$9353,$B51)</f>
        <v>0</v>
      </c>
      <c r="I52" s="21">
        <f>SUMIFS(Journal!$F$5:$F$9353,Journal!$C$5:$C$9353,I$8,Journal!$D$5:$D$9353,$B51)</f>
        <v>0</v>
      </c>
      <c r="J52" s="21">
        <f>SUMIFS(Journal!$F$5:$F$9353,Journal!$C$5:$C$9353,J$8,Journal!$D$5:$D$9353,$B51)</f>
        <v>0</v>
      </c>
      <c r="K52" s="21">
        <f>SUMIFS(Journal!$F$5:$F$9353,Journal!$C$5:$C$9353,K$8,Journal!$D$5:$D$9353,$B51)</f>
        <v>0</v>
      </c>
      <c r="L52" s="21">
        <f>SUMIFS(Journal!$F$5:$F$9353,Journal!$C$5:$C$9353,L$8,Journal!$D$5:$D$9353,$B51)</f>
        <v>0</v>
      </c>
      <c r="M52" s="21">
        <f>SUMIFS(Journal!$F$5:$F$9353,Journal!$C$5:$C$9353,M$8,Journal!$D$5:$D$9353,$B51)</f>
        <v>0</v>
      </c>
      <c r="N52" s="21">
        <f>SUMIFS(Journal!$F$5:$F$9353,Journal!$C$5:$C$9353,N$8,Journal!$D$5:$D$9353,$B51)</f>
        <v>0</v>
      </c>
      <c r="O52" s="21">
        <f>SUMIFS(Journal!$F$5:$F$9353,Journal!$C$5:$C$9353,O$8,Journal!$D$5:$D$9353,$B51)</f>
        <v>0</v>
      </c>
      <c r="P52" s="21">
        <f>SUMIFS(Journal!$F$5:$F$9353,Journal!$C$5:$C$9353,P$8,Journal!$D$5:$D$9353,$B51)</f>
        <v>0</v>
      </c>
      <c r="Q52" s="21">
        <f>SUMIFS(Journal!$F$5:$F$9353,Journal!$C$5:$C$9353,Q$8,Journal!$D$5:$D$9353,$B51)</f>
        <v>0</v>
      </c>
      <c r="R52" s="21">
        <f>SUMIFS(Journal!$F$5:$F$9353,Journal!$C$5:$C$9353,R$8,Journal!$D$5:$D$9353,$B51)</f>
        <v>0</v>
      </c>
      <c r="S52" s="21">
        <f>SUMIFS(Journal!$F$5:$F$9353,Journal!$C$5:$C$9353,S$8,Journal!$D$5:$D$9353,$B51)</f>
        <v>0</v>
      </c>
      <c r="T52" s="21">
        <f>SUMIFS(Journal!$F$5:$F$9353,Journal!$C$5:$C$9353,T$8,Journal!$D$5:$D$9353,$B51)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SUMIFS(Journal!$F$5:$F$9353,Journal!$C$5:$C$9353,D$8,Journal!$D$5:$D$9353,$B53)</f>
        <v>0</v>
      </c>
      <c r="E54" s="21">
        <f>SUMIFS(Journal!$F$5:$F$9353,Journal!$C$5:$C$9353,E$8,Journal!$D$5:$D$9353,$B53)</f>
        <v>0</v>
      </c>
      <c r="F54" s="21">
        <f>SUMIFS(Journal!$F$5:$F$9353,Journal!$C$5:$C$9353,F$8,Journal!$D$5:$D$9353,$B53)</f>
        <v>0</v>
      </c>
      <c r="G54" s="21">
        <f>SUMIFS(Journal!$F$5:$F$9353,Journal!$C$5:$C$9353,G$8,Journal!$D$5:$D$9353,$B53)</f>
        <v>0</v>
      </c>
      <c r="H54" s="21">
        <f>SUMIFS(Journal!$F$5:$F$9353,Journal!$C$5:$C$9353,H$8,Journal!$D$5:$D$9353,$B53)</f>
        <v>0</v>
      </c>
      <c r="I54" s="21">
        <f>SUMIFS(Journal!$F$5:$F$9353,Journal!$C$5:$C$9353,I$8,Journal!$D$5:$D$9353,$B53)</f>
        <v>0</v>
      </c>
      <c r="J54" s="21">
        <f>SUMIFS(Journal!$F$5:$F$9353,Journal!$C$5:$C$9353,J$8,Journal!$D$5:$D$9353,$B53)</f>
        <v>0</v>
      </c>
      <c r="K54" s="21">
        <f>SUMIFS(Journal!$F$5:$F$9353,Journal!$C$5:$C$9353,K$8,Journal!$D$5:$D$9353,$B53)</f>
        <v>0</v>
      </c>
      <c r="L54" s="21">
        <f>SUMIFS(Journal!$F$5:$F$9353,Journal!$C$5:$C$9353,L$8,Journal!$D$5:$D$9353,$B53)</f>
        <v>0</v>
      </c>
      <c r="M54" s="21">
        <f>SUMIFS(Journal!$F$5:$F$9353,Journal!$C$5:$C$9353,M$8,Journal!$D$5:$D$9353,$B53)</f>
        <v>0</v>
      </c>
      <c r="N54" s="21">
        <f>SUMIFS(Journal!$F$5:$F$9353,Journal!$C$5:$C$9353,N$8,Journal!$D$5:$D$9353,$B53)</f>
        <v>0</v>
      </c>
      <c r="O54" s="21">
        <f>SUMIFS(Journal!$F$5:$F$9353,Journal!$C$5:$C$9353,O$8,Journal!$D$5:$D$9353,$B53)</f>
        <v>0</v>
      </c>
      <c r="P54" s="21">
        <f>SUMIFS(Journal!$F$5:$F$9353,Journal!$C$5:$C$9353,P$8,Journal!$D$5:$D$9353,$B53)</f>
        <v>0</v>
      </c>
      <c r="Q54" s="21">
        <f>SUMIFS(Journal!$F$5:$F$9353,Journal!$C$5:$C$9353,Q$8,Journal!$D$5:$D$9353,$B53)</f>
        <v>0</v>
      </c>
      <c r="R54" s="21">
        <f>SUMIFS(Journal!$F$5:$F$9353,Journal!$C$5:$C$9353,R$8,Journal!$D$5:$D$9353,$B53)</f>
        <v>0</v>
      </c>
      <c r="S54" s="21">
        <f>SUMIFS(Journal!$F$5:$F$9353,Journal!$C$5:$C$9353,S$8,Journal!$D$5:$D$9353,$B53)</f>
        <v>0</v>
      </c>
      <c r="T54" s="21">
        <f>SUMIFS(Journal!$F$5:$F$9353,Journal!$C$5:$C$9353,T$8,Journal!$D$5:$D$9353,$B53)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SUMIFS(Journal!$F$5:$F$9353,Journal!$C$5:$C$9353,D$8,Journal!$D$5:$D$9353,$B55)</f>
        <v>0</v>
      </c>
      <c r="E56" s="21">
        <f>SUMIFS(Journal!$F$5:$F$9353,Journal!$C$5:$C$9353,E$8,Journal!$D$5:$D$9353,$B55)</f>
        <v>0</v>
      </c>
      <c r="F56" s="21">
        <f>SUMIFS(Journal!$F$5:$F$9353,Journal!$C$5:$C$9353,F$8,Journal!$D$5:$D$9353,$B55)</f>
        <v>0</v>
      </c>
      <c r="G56" s="21">
        <f>SUMIFS(Journal!$F$5:$F$9353,Journal!$C$5:$C$9353,G$8,Journal!$D$5:$D$9353,$B55)</f>
        <v>0</v>
      </c>
      <c r="H56" s="21">
        <f>SUMIFS(Journal!$F$5:$F$9353,Journal!$C$5:$C$9353,H$8,Journal!$D$5:$D$9353,$B55)</f>
        <v>0</v>
      </c>
      <c r="I56" s="21">
        <f>SUMIFS(Journal!$F$5:$F$9353,Journal!$C$5:$C$9353,I$8,Journal!$D$5:$D$9353,$B55)</f>
        <v>0</v>
      </c>
      <c r="J56" s="21">
        <f>SUMIFS(Journal!$F$5:$F$9353,Journal!$C$5:$C$9353,J$8,Journal!$D$5:$D$9353,$B55)</f>
        <v>0</v>
      </c>
      <c r="K56" s="21">
        <f>SUMIFS(Journal!$F$5:$F$9353,Journal!$C$5:$C$9353,K$8,Journal!$D$5:$D$9353,$B55)</f>
        <v>0</v>
      </c>
      <c r="L56" s="21">
        <f>SUMIFS(Journal!$F$5:$F$9353,Journal!$C$5:$C$9353,L$8,Journal!$D$5:$D$9353,$B55)</f>
        <v>0</v>
      </c>
      <c r="M56" s="21">
        <f>SUMIFS(Journal!$F$5:$F$9353,Journal!$C$5:$C$9353,M$8,Journal!$D$5:$D$9353,$B55)</f>
        <v>0</v>
      </c>
      <c r="N56" s="21">
        <f>SUMIFS(Journal!$F$5:$F$9353,Journal!$C$5:$C$9353,N$8,Journal!$D$5:$D$9353,$B55)</f>
        <v>0</v>
      </c>
      <c r="O56" s="21">
        <f>SUMIFS(Journal!$F$5:$F$9353,Journal!$C$5:$C$9353,O$8,Journal!$D$5:$D$9353,$B55)</f>
        <v>0</v>
      </c>
      <c r="P56" s="21">
        <f>SUMIFS(Journal!$F$5:$F$9353,Journal!$C$5:$C$9353,P$8,Journal!$D$5:$D$9353,$B55)</f>
        <v>0</v>
      </c>
      <c r="Q56" s="21">
        <f>SUMIFS(Journal!$F$5:$F$9353,Journal!$C$5:$C$9353,Q$8,Journal!$D$5:$D$9353,$B55)</f>
        <v>0</v>
      </c>
      <c r="R56" s="21">
        <f>SUMIFS(Journal!$F$5:$F$9353,Journal!$C$5:$C$9353,R$8,Journal!$D$5:$D$9353,$B55)</f>
        <v>0</v>
      </c>
      <c r="S56" s="21">
        <f>SUMIFS(Journal!$F$5:$F$9353,Journal!$C$5:$C$9353,S$8,Journal!$D$5:$D$9353,$B55)</f>
        <v>0</v>
      </c>
      <c r="T56" s="21">
        <f>SUMIFS(Journal!$F$5:$F$9353,Journal!$C$5:$C$9353,T$8,Journal!$D$5:$D$9353,$B55)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SUMIFS(Journal!$F$5:$F$9353,Journal!$C$5:$C$9353,D$8,Journal!$D$5:$D$9353,$B57)</f>
        <v>0</v>
      </c>
      <c r="E58" s="21">
        <f>SUMIFS(Journal!$F$5:$F$9353,Journal!$C$5:$C$9353,E$8,Journal!$D$5:$D$9353,$B57)</f>
        <v>0</v>
      </c>
      <c r="F58" s="21">
        <f>SUMIFS(Journal!$F$5:$F$9353,Journal!$C$5:$C$9353,F$8,Journal!$D$5:$D$9353,$B57)</f>
        <v>0</v>
      </c>
      <c r="G58" s="21">
        <f>SUMIFS(Journal!$F$5:$F$9353,Journal!$C$5:$C$9353,G$8,Journal!$D$5:$D$9353,$B57)</f>
        <v>0</v>
      </c>
      <c r="H58" s="21">
        <f>SUMIFS(Journal!$F$5:$F$9353,Journal!$C$5:$C$9353,H$8,Journal!$D$5:$D$9353,$B57)</f>
        <v>0</v>
      </c>
      <c r="I58" s="21">
        <f>SUMIFS(Journal!$F$5:$F$9353,Journal!$C$5:$C$9353,I$8,Journal!$D$5:$D$9353,$B57)</f>
        <v>0</v>
      </c>
      <c r="J58" s="21">
        <f>SUMIFS(Journal!$F$5:$F$9353,Journal!$C$5:$C$9353,J$8,Journal!$D$5:$D$9353,$B57)</f>
        <v>0</v>
      </c>
      <c r="K58" s="21">
        <f>SUMIFS(Journal!$F$5:$F$9353,Journal!$C$5:$C$9353,K$8,Journal!$D$5:$D$9353,$B57)</f>
        <v>0</v>
      </c>
      <c r="L58" s="21">
        <f>SUMIFS(Journal!$F$5:$F$9353,Journal!$C$5:$C$9353,L$8,Journal!$D$5:$D$9353,$B57)</f>
        <v>0</v>
      </c>
      <c r="M58" s="21">
        <f>SUMIFS(Journal!$F$5:$F$9353,Journal!$C$5:$C$9353,M$8,Journal!$D$5:$D$9353,$B57)</f>
        <v>0</v>
      </c>
      <c r="N58" s="21">
        <f>SUMIFS(Journal!$F$5:$F$9353,Journal!$C$5:$C$9353,N$8,Journal!$D$5:$D$9353,$B57)</f>
        <v>0</v>
      </c>
      <c r="O58" s="21">
        <f>SUMIFS(Journal!$F$5:$F$9353,Journal!$C$5:$C$9353,O$8,Journal!$D$5:$D$9353,$B57)</f>
        <v>0</v>
      </c>
      <c r="P58" s="21">
        <f>SUMIFS(Journal!$F$5:$F$9353,Journal!$C$5:$C$9353,P$8,Journal!$D$5:$D$9353,$B57)</f>
        <v>0</v>
      </c>
      <c r="Q58" s="21">
        <f>SUMIFS(Journal!$F$5:$F$9353,Journal!$C$5:$C$9353,Q$8,Journal!$D$5:$D$9353,$B57)</f>
        <v>0</v>
      </c>
      <c r="R58" s="21">
        <f>SUMIFS(Journal!$F$5:$F$9353,Journal!$C$5:$C$9353,R$8,Journal!$D$5:$D$9353,$B57)</f>
        <v>0</v>
      </c>
      <c r="S58" s="21">
        <f>SUMIFS(Journal!$F$5:$F$9353,Journal!$C$5:$C$9353,S$8,Journal!$D$5:$D$9353,$B57)</f>
        <v>0</v>
      </c>
      <c r="T58" s="21">
        <f>SUMIFS(Journal!$F$5:$F$9353,Journal!$C$5:$C$9353,T$8,Journal!$D$5:$D$9353,$B57)</f>
        <v>0</v>
      </c>
      <c r="U58" s="24" t="str">
        <f t="shared" si="3"/>
        <v/>
      </c>
    </row>
    <row r="59" spans="1:21" ht="20.25" customHeight="1" x14ac:dyDescent="0.25">
      <c r="A59" s="245" t="str">
        <f>Base!F25</f>
        <v>4 Tests</v>
      </c>
      <c r="B59" s="246"/>
      <c r="C59" s="246"/>
      <c r="D59" s="246"/>
      <c r="E59" s="246"/>
      <c r="F59" s="246"/>
      <c r="G59" s="246"/>
      <c r="H59" s="246"/>
      <c r="I59" s="246"/>
      <c r="J59" s="246"/>
      <c r="K59" s="246"/>
      <c r="L59" s="246"/>
      <c r="M59" s="246"/>
      <c r="N59" s="246"/>
      <c r="O59" s="246"/>
      <c r="P59" s="246"/>
      <c r="Q59" s="246"/>
      <c r="R59" s="246"/>
      <c r="S59" s="246"/>
      <c r="T59" s="246"/>
      <c r="U59" s="16">
        <f>SUMIF($C61:$C72,$C61,U61:U72)</f>
        <v>0.52083333333333326</v>
      </c>
    </row>
    <row r="60" spans="1:21" ht="15" customHeight="1" thickBot="1" x14ac:dyDescent="0.3">
      <c r="A60" s="247"/>
      <c r="B60" s="248"/>
      <c r="C60" s="248"/>
      <c r="D60" s="248"/>
      <c r="E60" s="248"/>
      <c r="F60" s="248"/>
      <c r="G60" s="248"/>
      <c r="H60" s="248"/>
      <c r="I60" s="248"/>
      <c r="J60" s="248"/>
      <c r="K60" s="248"/>
      <c r="L60" s="248"/>
      <c r="M60" s="248"/>
      <c r="N60" s="248"/>
      <c r="O60" s="248"/>
      <c r="P60" s="248"/>
      <c r="Q60" s="248"/>
      <c r="R60" s="248"/>
      <c r="S60" s="248"/>
      <c r="T60" s="248"/>
      <c r="U60" s="17">
        <f>SUMIF($C61:$C72,$C62,U61:U72)</f>
        <v>6.5972222222222224E-2</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SUMIFS(Journal!$F$5:$F$9353,Journal!$C$5:$C$9353,D$8,Journal!$D$5:$D$9353,$B61)</f>
        <v>0</v>
      </c>
      <c r="E62" s="21"/>
      <c r="F62" s="21">
        <f>SUMIFS(Journal!$F$5:$F$9353,Journal!$C$5:$C$9353,F$8,Journal!$D$5:$D$9353,$B61)</f>
        <v>0</v>
      </c>
      <c r="G62" s="21"/>
      <c r="H62" s="21">
        <f>SUMIFS(Journal!$F$5:$F$9353,Journal!$C$5:$C$9353,H$8,Journal!$D$5:$D$9353,$B61)</f>
        <v>0</v>
      </c>
      <c r="I62" s="21"/>
      <c r="J62" s="21">
        <f>SUMIFS(Journal!$F$5:$F$9353,Journal!$C$5:$C$9353,J$8,Journal!$D$5:$D$9353,$B61)</f>
        <v>0</v>
      </c>
      <c r="K62" s="21"/>
      <c r="L62" s="21">
        <f>SUMIFS(Journal!$F$5:$F$9353,Journal!$C$5:$C$9353,L$8,Journal!$D$5:$D$9353,$B61)</f>
        <v>4.1666666666666664E-2</v>
      </c>
      <c r="M62" s="21"/>
      <c r="N62" s="21">
        <f>SUMIFS(Journal!$F$5:$F$9353,Journal!$C$5:$C$9353,N$8,Journal!$D$5:$D$9353,$B61)</f>
        <v>0</v>
      </c>
      <c r="O62" s="21"/>
      <c r="P62" s="21">
        <f>SUMIFS(Journal!$F$5:$F$9353,Journal!$C$5:$C$9353,P$8,Journal!$D$5:$D$9353,$B61)</f>
        <v>0</v>
      </c>
      <c r="Q62" s="21"/>
      <c r="R62" s="21">
        <f>SUMIFS(Journal!$F$5:$F$9353,Journal!$C$5:$C$9353,R$8,Journal!$D$5:$D$9353,$B61)</f>
        <v>0</v>
      </c>
      <c r="S62" s="21"/>
      <c r="T62" s="21">
        <f>SUMIFS(Journal!$F$5:$F$9353,Journal!$C$5:$C$9353,T$8,Journal!$D$5:$D$9353,$B61)</f>
        <v>0</v>
      </c>
      <c r="U62" s="24">
        <f t="shared" si="6"/>
        <v>4.1666666666666664E-2</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SUMIFS(Journal!$F$5:$F$9353,Journal!$C$5:$C$9353,D$8,Journal!$D$5:$D$9353,$B63)</f>
        <v>0</v>
      </c>
      <c r="E64" s="21"/>
      <c r="F64" s="21">
        <f>SUMIFS(Journal!$F$5:$F$9353,Journal!$C$5:$C$9353,F$8,Journal!$D$5:$D$9353,$B63)</f>
        <v>0</v>
      </c>
      <c r="G64" s="21"/>
      <c r="H64" s="21">
        <f>SUMIFS(Journal!$F$5:$F$9353,Journal!$C$5:$C$9353,H$8,Journal!$D$5:$D$9353,$B63)</f>
        <v>0</v>
      </c>
      <c r="I64" s="21"/>
      <c r="J64" s="21">
        <f>SUMIFS(Journal!$F$5:$F$9353,Journal!$C$5:$C$9353,J$8,Journal!$D$5:$D$9353,$B63)</f>
        <v>0</v>
      </c>
      <c r="K64" s="21"/>
      <c r="L64" s="21">
        <f>SUMIFS(Journal!$F$5:$F$9353,Journal!$C$5:$C$9353,L$8,Journal!$D$5:$D$9353,$B63)</f>
        <v>0</v>
      </c>
      <c r="M64" s="21"/>
      <c r="N64" s="21">
        <f>SUMIFS(Journal!$F$5:$F$9353,Journal!$C$5:$C$9353,N$8,Journal!$D$5:$D$9353,$B63)</f>
        <v>0</v>
      </c>
      <c r="O64" s="21"/>
      <c r="P64" s="21">
        <f>SUMIFS(Journal!$F$5:$F$9353,Journal!$C$5:$C$9353,P$8,Journal!$D$5:$D$9353,$B63)</f>
        <v>0</v>
      </c>
      <c r="Q64" s="21"/>
      <c r="R64" s="21">
        <f>SUMIFS(Journal!$F$5:$F$9353,Journal!$C$5:$C$9353,R$8,Journal!$D$5:$D$9353,$B63)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SUMIFS(Journal!$F$5:$F$9353,Journal!$C$5:$C$9353,D$8,Journal!$D$5:$D$9353,$B65)</f>
        <v>0</v>
      </c>
      <c r="E66" s="21"/>
      <c r="F66" s="21">
        <f>SUMIFS(Journal!$F$5:$F$9353,Journal!$C$5:$C$9353,F$8,Journal!$D$5:$D$9353,$B65)</f>
        <v>0</v>
      </c>
      <c r="G66" s="21"/>
      <c r="H66" s="21">
        <f>SUMIFS(Journal!$F$5:$F$9353,Journal!$C$5:$C$9353,H$8,Journal!$D$5:$D$9353,$B65)</f>
        <v>0</v>
      </c>
      <c r="I66" s="21"/>
      <c r="J66" s="21">
        <f>SUMIFS(Journal!$F$5:$F$9353,Journal!$C$5:$C$9353,J$8,Journal!$D$5:$D$9353,$B65)</f>
        <v>0</v>
      </c>
      <c r="K66" s="21"/>
      <c r="L66" s="21">
        <f>SUMIFS(Journal!$F$5:$F$9353,Journal!$C$5:$C$9353,L$8,Journal!$D$5:$D$9353,$B65)</f>
        <v>0</v>
      </c>
      <c r="M66" s="21"/>
      <c r="N66" s="21">
        <f>SUMIFS(Journal!$F$5:$F$9353,Journal!$C$5:$C$9353,N$8,Journal!$D$5:$D$9353,$B65)</f>
        <v>0</v>
      </c>
      <c r="O66" s="21"/>
      <c r="P66" s="21">
        <f>SUMIFS(Journal!$F$5:$F$9353,Journal!$C$5:$C$9353,P$8,Journal!$D$5:$D$9353,$B65)</f>
        <v>0</v>
      </c>
      <c r="Q66" s="21"/>
      <c r="R66" s="21">
        <f>SUMIFS(Journal!$F$5:$F$9353,Journal!$C$5:$C$9353,R$8,Journal!$D$5:$D$9353,$B65)</f>
        <v>0</v>
      </c>
      <c r="S66" s="21"/>
      <c r="T66" s="21">
        <f>SUMIFS(Journal!$F$5:$F$9353,Journal!$C$5:$C$9353,T$8,Journal!$D$5:$D$9353,$B65)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SUMIFS(Journal!$F$5:$F$9353,Journal!$C$5:$C$9353,D$8,Journal!$D$5:$D$9353,$B67)</f>
        <v>0</v>
      </c>
      <c r="E68" s="21"/>
      <c r="F68" s="21">
        <f>SUMIFS(Journal!$F$5:$F$9353,Journal!$C$5:$C$9353,F$8,Journal!$D$5:$D$9353,$B67)</f>
        <v>0</v>
      </c>
      <c r="G68" s="21"/>
      <c r="H68" s="21">
        <f>SUMIFS(Journal!$F$5:$F$9353,Journal!$C$5:$C$9353,H$8,Journal!$D$5:$D$9353,$B67)</f>
        <v>0</v>
      </c>
      <c r="I68" s="21"/>
      <c r="J68" s="21">
        <f>SUMIFS(Journal!$F$5:$F$9353,Journal!$C$5:$C$9353,J$8,Journal!$D$5:$D$9353,$B67)</f>
        <v>0</v>
      </c>
      <c r="K68" s="21"/>
      <c r="L68" s="21">
        <f>SUMIFS(Journal!$F$5:$F$9353,Journal!$C$5:$C$9353,L$8,Journal!$D$5:$D$9353,$B67)</f>
        <v>2.4305555555555556E-2</v>
      </c>
      <c r="M68" s="21"/>
      <c r="N68" s="21">
        <f>SUMIFS(Journal!$F$5:$F$9353,Journal!$C$5:$C$9353,N$8,Journal!$D$5:$D$9353,$B67)</f>
        <v>0</v>
      </c>
      <c r="O68" s="21"/>
      <c r="P68" s="21">
        <f>SUMIFS(Journal!$F$5:$F$9353,Journal!$C$5:$C$9353,P$8,Journal!$D$5:$D$9353,$B67)</f>
        <v>0</v>
      </c>
      <c r="Q68" s="21"/>
      <c r="R68" s="21">
        <f>SUMIFS(Journal!$F$5:$F$9353,Journal!$C$5:$C$9353,R$8,Journal!$D$5:$D$9353,$B67)</f>
        <v>0</v>
      </c>
      <c r="S68" s="21"/>
      <c r="T68" s="21">
        <f>SUMIFS(Journal!$F$5:$F$9353,Journal!$C$5:$C$9353,T$8,Journal!$D$5:$D$9353,$B67)</f>
        <v>0</v>
      </c>
      <c r="U68" s="24">
        <f t="shared" si="6"/>
        <v>2.4305555555555556E-2</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SUMIFS(Journal!$F$5:$F$9353,Journal!$C$5:$C$9353,D$8,Journal!$D$5:$D$9353,$B69)</f>
        <v>0</v>
      </c>
      <c r="E70" s="21"/>
      <c r="F70" s="21">
        <f>SUMIFS(Journal!$F$5:$F$9353,Journal!$C$5:$C$9353,F$8,Journal!$D$5:$D$9353,$B69)</f>
        <v>0</v>
      </c>
      <c r="G70" s="21"/>
      <c r="H70" s="21">
        <f>SUMIFS(Journal!$F$5:$F$9353,Journal!$C$5:$C$9353,H$8,Journal!$D$5:$D$9353,$B69)</f>
        <v>0</v>
      </c>
      <c r="I70" s="21"/>
      <c r="J70" s="21">
        <f>SUMIFS(Journal!$F$5:$F$9353,Journal!$C$5:$C$9353,J$8,Journal!$D$5:$D$9353,$B69)</f>
        <v>0</v>
      </c>
      <c r="K70" s="21"/>
      <c r="L70" s="21">
        <f>SUMIFS(Journal!$F$5:$F$9353,Journal!$C$5:$C$9353,L$8,Journal!$D$5:$D$9353,$B69)</f>
        <v>0</v>
      </c>
      <c r="M70" s="21"/>
      <c r="N70" s="21">
        <f>SUMIFS(Journal!$F$5:$F$9353,Journal!$C$5:$C$9353,N$8,Journal!$D$5:$D$9353,$B69)</f>
        <v>0</v>
      </c>
      <c r="O70" s="21"/>
      <c r="P70" s="21">
        <f>SUMIFS(Journal!$F$5:$F$9353,Journal!$C$5:$C$9353,P$8,Journal!$D$5:$D$9353,$B69)</f>
        <v>0</v>
      </c>
      <c r="Q70" s="21"/>
      <c r="R70" s="21">
        <f>SUMIFS(Journal!$F$5:$F$9353,Journal!$C$5:$C$9353,R$8,Journal!$D$5:$D$9353,$B69)</f>
        <v>0</v>
      </c>
      <c r="S70" s="21"/>
      <c r="T70" s="21">
        <f>SUMIFS(Journal!$F$5:$F$9353,Journal!$C$5:$C$9353,T$8,Journal!$D$5:$D$9353,$B69)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SUMIFS(Journal!$F$5:$F$9353,Journal!$C$5:$C$9353,D$8,Journal!$D$5:$D$9353,$B71)</f>
        <v>0</v>
      </c>
      <c r="E72" s="21"/>
      <c r="F72" s="21">
        <f>SUMIFS(Journal!$F$5:$F$9353,Journal!$C$5:$C$9353,F$8,Journal!$D$5:$D$9353,$B71)</f>
        <v>0</v>
      </c>
      <c r="G72" s="21"/>
      <c r="H72" s="21">
        <f>SUMIFS(Journal!$F$5:$F$9353,Journal!$C$5:$C$9353,H$8,Journal!$D$5:$D$9353,$B71)</f>
        <v>0</v>
      </c>
      <c r="I72" s="21"/>
      <c r="J72" s="21">
        <f>SUMIFS(Journal!$F$5:$F$9353,Journal!$C$5:$C$9353,J$8,Journal!$D$5:$D$9353,$B71)</f>
        <v>0</v>
      </c>
      <c r="K72" s="21"/>
      <c r="L72" s="21">
        <f>SUMIFS(Journal!$F$5:$F$9353,Journal!$C$5:$C$9353,L$8,Journal!$D$5:$D$9353,$B71)</f>
        <v>0</v>
      </c>
      <c r="M72" s="21"/>
      <c r="N72" s="21">
        <f>SUMIFS(Journal!$F$5:$F$9353,Journal!$C$5:$C$9353,N$8,Journal!$D$5:$D$9353,$B71)</f>
        <v>0</v>
      </c>
      <c r="O72" s="21"/>
      <c r="P72" s="21">
        <f>SUMIFS(Journal!$F$5:$F$9353,Journal!$C$5:$C$9353,P$8,Journal!$D$5:$D$9353,$B71)</f>
        <v>0</v>
      </c>
      <c r="Q72" s="21"/>
      <c r="R72" s="21">
        <f>SUMIFS(Journal!$F$5:$F$9353,Journal!$C$5:$C$9353,R$8,Journal!$D$5:$D$9353,$B71)</f>
        <v>0</v>
      </c>
      <c r="S72" s="21"/>
      <c r="T72" s="21">
        <f>SUMIFS(Journal!$F$5:$F$9353,Journal!$C$5:$C$9353,T$8,Journal!$D$5:$D$9353,$B71)</f>
        <v>0</v>
      </c>
      <c r="U72" s="24" t="str">
        <f t="shared" si="6"/>
        <v/>
      </c>
    </row>
    <row r="73" spans="1:21" ht="20.25" customHeight="1" x14ac:dyDescent="0.25">
      <c r="A73" s="222" t="str">
        <f>Base!F31</f>
        <v>5 Documentation</v>
      </c>
      <c r="B73" s="223"/>
      <c r="C73" s="223"/>
      <c r="D73" s="223"/>
      <c r="E73" s="223"/>
      <c r="F73" s="223"/>
      <c r="G73" s="223"/>
      <c r="H73" s="223"/>
      <c r="I73" s="223"/>
      <c r="J73" s="223"/>
      <c r="K73" s="223"/>
      <c r="L73" s="223"/>
      <c r="M73" s="223"/>
      <c r="N73" s="223"/>
      <c r="O73" s="223"/>
      <c r="P73" s="223"/>
      <c r="Q73" s="223"/>
      <c r="R73" s="223"/>
      <c r="S73" s="223"/>
      <c r="T73" s="223"/>
      <c r="U73" s="16">
        <f>SUMIF($C75:$C86,$C75,U75:U86)</f>
        <v>0.82638888888888884</v>
      </c>
    </row>
    <row r="74" spans="1:21" ht="15" customHeight="1" thickBot="1" x14ac:dyDescent="0.3">
      <c r="A74" s="224"/>
      <c r="B74" s="225"/>
      <c r="C74" s="225"/>
      <c r="D74" s="225"/>
      <c r="E74" s="225"/>
      <c r="F74" s="225"/>
      <c r="G74" s="225"/>
      <c r="H74" s="225"/>
      <c r="I74" s="225"/>
      <c r="J74" s="225"/>
      <c r="K74" s="225"/>
      <c r="L74" s="225"/>
      <c r="M74" s="225"/>
      <c r="N74" s="225"/>
      <c r="O74" s="225"/>
      <c r="P74" s="225"/>
      <c r="Q74" s="225"/>
      <c r="R74" s="225"/>
      <c r="S74" s="225"/>
      <c r="T74" s="225"/>
      <c r="U74" s="17">
        <f>SUMIF($C75:$C86,$C76,U75:U86)</f>
        <v>0.1875</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SUMIFS(Journal!$F$5:$F$9353,Journal!$C$5:$C$9353,D$8,Journal!$D$5:$D$9353,$B75)</f>
        <v>4.5138888888888888E-2</v>
      </c>
      <c r="E76" s="21"/>
      <c r="F76" s="21">
        <f>SUMIFS(Journal!$F$5:$F$9353,Journal!$C$5:$C$9353,F$8,Journal!$D$5:$D$9353,$B75)</f>
        <v>0.10069444444444445</v>
      </c>
      <c r="G76" s="21"/>
      <c r="H76" s="21">
        <f>SUMIFS(Journal!$F$5:$F$9353,Journal!$C$5:$C$9353,H$8,Journal!$D$5:$D$9353,$B75)</f>
        <v>6.9444444444444441E-3</v>
      </c>
      <c r="I76" s="21"/>
      <c r="J76" s="21">
        <f>SUMIFS(Journal!$F$5:$F$9353,Journal!$C$5:$C$9353,J$8,Journal!$D$5:$D$9353,$B75)</f>
        <v>0</v>
      </c>
      <c r="K76" s="21"/>
      <c r="L76" s="21">
        <f>SUMIFS(Journal!$F$5:$F$9353,Journal!$C$5:$C$9353,L$8,Journal!$D$5:$D$9353,$B75)</f>
        <v>6.9444444444444441E-3</v>
      </c>
      <c r="M76" s="21"/>
      <c r="N76" s="21">
        <f>SUMIFS(Journal!$F$5:$F$9353,Journal!$C$5:$C$9353,N$8,Journal!$D$5:$D$9353,$B75)</f>
        <v>0</v>
      </c>
      <c r="O76" s="21"/>
      <c r="P76" s="21">
        <f>SUMIFS(Journal!$F$5:$F$9353,Journal!$C$5:$C$9353,P$8,Journal!$D$5:$D$9353,$B75)</f>
        <v>0</v>
      </c>
      <c r="Q76" s="21"/>
      <c r="R76" s="21">
        <f>SUMIFS(Journal!$F$5:$F$9353,Journal!$C$5:$C$9353,R$8,Journal!$D$5:$D$9353,$B75)</f>
        <v>0</v>
      </c>
      <c r="S76" s="21"/>
      <c r="T76" s="21">
        <f>SUMIFS(Journal!$F$5:$F$9353,Journal!$C$5:$C$9353,T$8,Journal!$D$5:$D$9353,$B75)</f>
        <v>0</v>
      </c>
      <c r="U76" s="24">
        <f t="shared" si="7"/>
        <v>0.15972222222222224</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SUMIFS(Journal!$F$5:$F$9353,Journal!$C$5:$C$9353,D$8,Journal!$D$5:$D$9353,$B77)</f>
        <v>0</v>
      </c>
      <c r="E78" s="21"/>
      <c r="F78" s="21">
        <f>SUMIFS(Journal!$F$5:$F$9353,Journal!$C$5:$C$9353,F$8,Journal!$D$5:$D$9353,$B77)</f>
        <v>0</v>
      </c>
      <c r="G78" s="21"/>
      <c r="H78" s="21">
        <f>SUMIFS(Journal!$F$5:$F$9353,Journal!$C$5:$C$9353,H$8,Journal!$D$5:$D$9353,$B77)</f>
        <v>0</v>
      </c>
      <c r="I78" s="21"/>
      <c r="J78" s="21">
        <f>SUMIFS(Journal!$F$5:$F$9353,Journal!$C$5:$C$9353,J$8,Journal!$D$5:$D$9353,$B77)</f>
        <v>0</v>
      </c>
      <c r="K78" s="21"/>
      <c r="L78" s="21">
        <f>SUMIFS(Journal!$F$5:$F$9353,Journal!$C$5:$C$9353,L$8,Journal!$D$5:$D$9353,$B77)</f>
        <v>0</v>
      </c>
      <c r="M78" s="21"/>
      <c r="N78" s="21">
        <f>SUMIFS(Journal!$F$5:$F$9353,Journal!$C$5:$C$9353,N$8,Journal!$D$5:$D$9353,$B77)</f>
        <v>0</v>
      </c>
      <c r="O78" s="21"/>
      <c r="P78" s="21">
        <f>SUMIFS(Journal!$F$5:$F$9353,Journal!$C$5:$C$9353,P$8,Journal!$D$5:$D$9353,$B77)</f>
        <v>0</v>
      </c>
      <c r="Q78" s="21"/>
      <c r="R78" s="21">
        <f>SUMIFS(Journal!$F$5:$F$9353,Journal!$C$5:$C$9353,R$8,Journal!$D$5:$D$9353,$B77)</f>
        <v>0</v>
      </c>
      <c r="S78" s="21"/>
      <c r="T78" s="21">
        <f>SUMIFS(Journal!$F$5:$F$9353,Journal!$C$5:$C$9353,T$8,Journal!$D$5:$D$9353,$B77)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SUMIFS(Journal!$F$5:$F$9353,Journal!$C$5:$C$9353,D$8,Journal!$D$5:$D$9353,$B79)</f>
        <v>0</v>
      </c>
      <c r="E80" s="21"/>
      <c r="F80" s="21">
        <f>SUMIFS(Journal!$F$5:$F$9353,Journal!$C$5:$C$9353,F$8,Journal!$D$5:$D$9353,$B79)</f>
        <v>0</v>
      </c>
      <c r="G80" s="21"/>
      <c r="H80" s="21">
        <f>SUMIFS(Journal!$F$5:$F$9353,Journal!$C$5:$C$9353,H$8,Journal!$D$5:$D$9353,$B79)</f>
        <v>0</v>
      </c>
      <c r="I80" s="21"/>
      <c r="J80" s="21">
        <f>SUMIFS(Journal!$F$5:$F$9353,Journal!$C$5:$C$9353,J$8,Journal!$D$5:$D$9353,$B79)</f>
        <v>0</v>
      </c>
      <c r="K80" s="21"/>
      <c r="L80" s="21">
        <f>SUMIFS(Journal!$F$5:$F$9353,Journal!$C$5:$C$9353,L$8,Journal!$D$5:$D$9353,$B79)</f>
        <v>0</v>
      </c>
      <c r="M80" s="21"/>
      <c r="N80" s="21">
        <f>SUMIFS(Journal!$F$5:$F$9353,Journal!$C$5:$C$9353,N$8,Journal!$D$5:$D$9353,$B79)</f>
        <v>0</v>
      </c>
      <c r="O80" s="21"/>
      <c r="P80" s="21">
        <f>SUMIFS(Journal!$F$5:$F$9353,Journal!$C$5:$C$9353,P$8,Journal!$D$5:$D$9353,$B79)</f>
        <v>0</v>
      </c>
      <c r="Q80" s="21"/>
      <c r="R80" s="21">
        <f>SUMIFS(Journal!$F$5:$F$9353,Journal!$C$5:$C$9353,R$8,Journal!$D$5:$D$9353,$B79)</f>
        <v>0</v>
      </c>
      <c r="S80" s="21"/>
      <c r="T80" s="21">
        <f>SUMIFS(Journal!$F$5:$F$9353,Journal!$C$5:$C$9353,T$8,Journal!$D$5:$D$9353,$B79)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SUMIFS(Journal!$F$5:$F$9353,Journal!$C$5:$C$9353,D$8,Journal!$D$5:$D$9353,$B81)</f>
        <v>0</v>
      </c>
      <c r="E82" s="21"/>
      <c r="F82" s="21">
        <f>SUMIFS(Journal!$F$5:$F$9353,Journal!$C$5:$C$9353,F$8,Journal!$D$5:$D$9353,$B81)</f>
        <v>0</v>
      </c>
      <c r="G82" s="21"/>
      <c r="H82" s="21">
        <f>SUMIFS(Journal!$F$5:$F$9353,Journal!$C$5:$C$9353,H$8,Journal!$D$5:$D$9353,$B81)</f>
        <v>0</v>
      </c>
      <c r="I82" s="21"/>
      <c r="J82" s="21">
        <f>SUMIFS(Journal!$F$5:$F$9353,Journal!$C$5:$C$9353,J$8,Journal!$D$5:$D$9353,$B81)</f>
        <v>0</v>
      </c>
      <c r="K82" s="21"/>
      <c r="L82" s="21">
        <f>SUMIFS(Journal!$F$5:$F$9353,Journal!$C$5:$C$9353,L$8,Journal!$D$5:$D$9353,$B81)</f>
        <v>0</v>
      </c>
      <c r="M82" s="21"/>
      <c r="N82" s="21">
        <f>SUMIFS(Journal!$F$5:$F$9353,Journal!$C$5:$C$9353,N$8,Journal!$D$5:$D$9353,$B81)</f>
        <v>0</v>
      </c>
      <c r="O82" s="21"/>
      <c r="P82" s="21">
        <f>SUMIFS(Journal!$F$5:$F$9353,Journal!$C$5:$C$9353,P$8,Journal!$D$5:$D$9353,$B81)</f>
        <v>0</v>
      </c>
      <c r="Q82" s="21"/>
      <c r="R82" s="21">
        <f>SUMIFS(Journal!$F$5:$F$9353,Journal!$C$5:$C$9353,R$8,Journal!$D$5:$D$9353,$B81)</f>
        <v>0</v>
      </c>
      <c r="S82" s="21"/>
      <c r="T82" s="21">
        <f>SUMIFS(Journal!$F$5:$F$9353,Journal!$C$5:$C$9353,T$8,Journal!$D$5:$D$9353,$B81)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SUMIFS(Journal!$F$5:$F$9353,Journal!$C$5:$C$9353,D$8,Journal!$D$5:$D$9353,$B83)</f>
        <v>6.9444444444444441E-3</v>
      </c>
      <c r="E84" s="21"/>
      <c r="F84" s="21">
        <f>SUMIFS(Journal!$F$5:$F$9353,Journal!$C$5:$C$9353,F$8,Journal!$D$5:$D$9353,$B83)</f>
        <v>1.0416666666666666E-2</v>
      </c>
      <c r="G84" s="21"/>
      <c r="H84" s="21">
        <f>SUMIFS(Journal!$F$5:$F$9353,Journal!$C$5:$C$9353,H$8,Journal!$D$5:$D$9353,$B83)</f>
        <v>1.0416666666666666E-2</v>
      </c>
      <c r="I84" s="21"/>
      <c r="J84" s="21">
        <f>SUMIFS(Journal!$F$5:$F$9353,Journal!$C$5:$C$9353,J$8,Journal!$D$5:$D$9353,$B83)</f>
        <v>0</v>
      </c>
      <c r="K84" s="21"/>
      <c r="L84" s="21">
        <f>SUMIFS(Journal!$F$5:$F$9353,Journal!$C$5:$C$9353,L$8,Journal!$D$5:$D$9353,$B83)</f>
        <v>0</v>
      </c>
      <c r="M84" s="21"/>
      <c r="N84" s="21">
        <f>SUMIFS(Journal!$F$5:$F$9353,Journal!$C$5:$C$9353,N$8,Journal!$D$5:$D$9353,$B83)</f>
        <v>0</v>
      </c>
      <c r="O84" s="21"/>
      <c r="P84" s="21">
        <f>SUMIFS(Journal!$F$5:$F$9353,Journal!$C$5:$C$9353,P$8,Journal!$D$5:$D$9353,$B83)</f>
        <v>0</v>
      </c>
      <c r="Q84" s="21"/>
      <c r="R84" s="21">
        <f>SUMIFS(Journal!$F$5:$F$9353,Journal!$C$5:$C$9353,R$8,Journal!$D$5:$D$9353,$B83)</f>
        <v>0</v>
      </c>
      <c r="S84" s="21"/>
      <c r="T84" s="21">
        <f>SUMIFS(Journal!$F$5:$F$9353,Journal!$C$5:$C$9353,T$8,Journal!$D$5:$D$9353,$B83)</f>
        <v>0</v>
      </c>
      <c r="U84" s="24">
        <f t="shared" si="7"/>
        <v>2.7777777777777776E-2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SUMIFS(Journal!$F$5:$F$9353,Journal!$C$5:$C$9353,D$8,Journal!$D$5:$D$9353,$B85)</f>
        <v>0</v>
      </c>
      <c r="E86" s="21"/>
      <c r="F86" s="21">
        <f>SUMIFS(Journal!$F$5:$F$9353,Journal!$C$5:$C$9353,F$8,Journal!$D$5:$D$9353,$B85)</f>
        <v>0</v>
      </c>
      <c r="G86" s="21"/>
      <c r="H86" s="21">
        <f>SUMIFS(Journal!$F$5:$F$9353,Journal!$C$5:$C$9353,H$8,Journal!$D$5:$D$9353,$B85)</f>
        <v>0</v>
      </c>
      <c r="I86" s="21"/>
      <c r="J86" s="21">
        <f>SUMIFS(Journal!$F$5:$F$9353,Journal!$C$5:$C$9353,J$8,Journal!$D$5:$D$9353,$B85)</f>
        <v>0</v>
      </c>
      <c r="K86" s="21"/>
      <c r="L86" s="21">
        <f>SUMIFS(Journal!$F$5:$F$9353,Journal!$C$5:$C$9353,L$8,Journal!$D$5:$D$9353,$B85)</f>
        <v>0</v>
      </c>
      <c r="M86" s="21"/>
      <c r="N86" s="21">
        <f>SUMIFS(Journal!$F$5:$F$9353,Journal!$C$5:$C$9353,N$8,Journal!$D$5:$D$9353,$B85)</f>
        <v>0</v>
      </c>
      <c r="O86" s="21"/>
      <c r="P86" s="21">
        <f>SUMIFS(Journal!$F$5:$F$9353,Journal!$C$5:$C$9353,P$8,Journal!$D$5:$D$9353,$B85)</f>
        <v>0</v>
      </c>
      <c r="Q86" s="21"/>
      <c r="R86" s="21">
        <f>SUMIFS(Journal!$F$5:$F$9353,Journal!$C$5:$C$9353,R$8,Journal!$D$5:$D$9353,$B85)</f>
        <v>0</v>
      </c>
      <c r="S86" s="21"/>
      <c r="T86" s="21">
        <f>SUMIFS(Journal!$F$5:$F$9353,Journal!$C$5:$C$9353,T$8,Journal!$D$5:$D$9353,$B85)</f>
        <v>0</v>
      </c>
      <c r="U86" s="24" t="str">
        <f t="shared" si="7"/>
        <v/>
      </c>
    </row>
    <row r="87" spans="1:21" ht="20.25" customHeight="1" x14ac:dyDescent="0.25">
      <c r="A87" s="226" t="str">
        <f>Base!F37</f>
        <v>6 Absence</v>
      </c>
      <c r="B87" s="227"/>
      <c r="C87" s="227"/>
      <c r="D87" s="227"/>
      <c r="E87" s="227"/>
      <c r="F87" s="227"/>
      <c r="G87" s="227"/>
      <c r="H87" s="227"/>
      <c r="I87" s="227"/>
      <c r="J87" s="227"/>
      <c r="K87" s="227"/>
      <c r="L87" s="227"/>
      <c r="M87" s="227"/>
      <c r="N87" s="227"/>
      <c r="O87" s="227"/>
      <c r="P87" s="227"/>
      <c r="Q87" s="227"/>
      <c r="R87" s="227"/>
      <c r="S87" s="227"/>
      <c r="T87" s="227"/>
      <c r="U87" s="16">
        <f>SUMIF($C89:$C100,$C89,U89:U100)</f>
        <v>6.2500000000000014E-2</v>
      </c>
    </row>
    <row r="88" spans="1:21" ht="15" customHeight="1" thickBot="1" x14ac:dyDescent="0.3">
      <c r="A88" s="228"/>
      <c r="B88" s="229"/>
      <c r="C88" s="229"/>
      <c r="D88" s="229"/>
      <c r="E88" s="229"/>
      <c r="F88" s="229"/>
      <c r="G88" s="229"/>
      <c r="H88" s="229"/>
      <c r="I88" s="229"/>
      <c r="J88" s="229"/>
      <c r="K88" s="229"/>
      <c r="L88" s="229"/>
      <c r="M88" s="229"/>
      <c r="N88" s="229"/>
      <c r="O88" s="229"/>
      <c r="P88" s="229"/>
      <c r="Q88" s="229"/>
      <c r="R88" s="229"/>
      <c r="S88" s="229"/>
      <c r="T88" s="229"/>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SUMIFS(Journal!$F$5:$F$9353,Journal!$C$5:$C$9353,E$8,Journal!$D$5:$D$9353,$B89)</f>
        <v>0</v>
      </c>
      <c r="F90" s="21">
        <f>SUMIFS(Journal!$F$5:$F$9353,Journal!$C$5:$C$9353,F$8,Journal!$D$5:$D$9353,$B89)</f>
        <v>0</v>
      </c>
      <c r="G90" s="21">
        <f>SUMIFS(Journal!$F$5:$F$9353,Journal!$C$5:$C$9353,G$8,Journal!$D$5:$D$9353,$B89)</f>
        <v>0</v>
      </c>
      <c r="H90" s="21">
        <f>SUMIFS(Journal!$F$5:$F$9353,Journal!$C$5:$C$9353,H$8,Journal!$D$5:$D$9353,$B89)</f>
        <v>0</v>
      </c>
      <c r="I90" s="21">
        <f>SUMIFS(Journal!$F$5:$F$9353,Journal!$C$5:$C$9353,I$8,Journal!$D$5:$D$9353,$B89)</f>
        <v>0</v>
      </c>
      <c r="J90" s="21">
        <f>SUMIFS(Journal!$F$5:$F$9353,Journal!$C$5:$C$9353,J$8,Journal!$D$5:$D$9353,$B89)</f>
        <v>0</v>
      </c>
      <c r="K90" s="21">
        <f>SUMIFS(Journal!$F$5:$F$9353,Journal!$C$5:$C$9353,K$8,Journal!$D$5:$D$9353,$B89)</f>
        <v>0</v>
      </c>
      <c r="L90" s="21">
        <f>SUMIFS(Journal!$F$5:$F$9353,Journal!$C$5:$C$9353,L$8,Journal!$D$5:$D$9353,$B89)</f>
        <v>0</v>
      </c>
      <c r="M90" s="21">
        <f>SUMIFS(Journal!$F$5:$F$9353,Journal!$C$5:$C$9353,M$8,Journal!$D$5:$D$9353,$B89)</f>
        <v>0</v>
      </c>
      <c r="N90" s="21">
        <f>SUMIFS(Journal!$F$5:$F$9353,Journal!$C$5:$C$9353,N$8,Journal!$D$5:$D$9353,$B89)</f>
        <v>0</v>
      </c>
      <c r="O90" s="21">
        <f>SUMIFS(Journal!$F$5:$F$9353,Journal!$C$5:$C$9353,O$8,Journal!$D$5:$D$9353,$B89)</f>
        <v>0</v>
      </c>
      <c r="P90" s="21">
        <f>SUMIFS(Journal!$F$5:$F$9353,Journal!$C$5:$C$9353,P$8,Journal!$D$5:$D$9353,$B89)</f>
        <v>0</v>
      </c>
      <c r="Q90" s="21">
        <f>SUMIFS(Journal!$F$5:$F$9353,Journal!$C$5:$C$9353,Q$8,Journal!$D$5:$D$9353,$B89)</f>
        <v>0</v>
      </c>
      <c r="R90" s="21">
        <f>SUMIFS(Journal!$F$5:$F$9353,Journal!$C$5:$C$9353,R$8,Journal!$D$5:$D$9353,$B89)</f>
        <v>0</v>
      </c>
      <c r="S90" s="21">
        <f>SUMIFS(Journal!$F$5:$F$9353,Journal!$C$5:$C$9353,S$8,Journal!$D$5:$D$9353,$B89)</f>
        <v>0</v>
      </c>
      <c r="T90" s="21">
        <f>SUMIFS(Journal!$F$5:$F$9353,Journal!$C$5:$C$9353,T$8,Journal!$D$5:$D$9353,$B89)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SUMIFS(Journal!$F$5:$F$9353,Journal!$C$5:$C$9353,D$8,Journal!$D$5:$D$9353,$B91)</f>
        <v>0</v>
      </c>
      <c r="E92" s="21">
        <f>SUMIFS(Journal!$F$5:$F$9353,Journal!$C$5:$C$9353,E$8,Journal!$D$5:$D$9353,$B91)</f>
        <v>0</v>
      </c>
      <c r="F92" s="21">
        <f>SUMIFS(Journal!$F$5:$F$9353,Journal!$C$5:$C$9353,F$8,Journal!$D$5:$D$9353,$B91)</f>
        <v>0</v>
      </c>
      <c r="G92" s="21">
        <f>SUMIFS(Journal!$F$5:$F$9353,Journal!$C$5:$C$9353,G$8,Journal!$D$5:$D$9353,$B91)</f>
        <v>0</v>
      </c>
      <c r="H92" s="21">
        <f>SUMIFS(Journal!$F$5:$F$9353,Journal!$C$5:$C$9353,H$8,Journal!$D$5:$D$9353,$B91)</f>
        <v>0</v>
      </c>
      <c r="I92" s="21">
        <f>SUMIFS(Journal!$F$5:$F$9353,Journal!$C$5:$C$9353,I$8,Journal!$D$5:$D$9353,$B91)</f>
        <v>0</v>
      </c>
      <c r="J92" s="21">
        <f>SUMIFS(Journal!$F$5:$F$9353,Journal!$C$5:$C$9353,J$8,Journal!$D$5:$D$9353,$B91)</f>
        <v>0</v>
      </c>
      <c r="K92" s="21">
        <f>SUMIFS(Journal!$F$5:$F$9353,Journal!$C$5:$C$9353,K$8,Journal!$D$5:$D$9353,$B91)</f>
        <v>0</v>
      </c>
      <c r="L92" s="21">
        <f>SUMIFS(Journal!$F$5:$F$9353,Journal!$C$5:$C$9353,L$8,Journal!$D$5:$D$9353,$B91)</f>
        <v>0</v>
      </c>
      <c r="M92" s="21">
        <f>SUMIFS(Journal!$F$5:$F$9353,Journal!$C$5:$C$9353,M$8,Journal!$D$5:$D$9353,$B91)</f>
        <v>0</v>
      </c>
      <c r="N92" s="21">
        <f>SUMIFS(Journal!$F$5:$F$9353,Journal!$C$5:$C$9353,N$8,Journal!$D$5:$D$9353,$B91)</f>
        <v>0</v>
      </c>
      <c r="O92" s="21">
        <f>SUMIFS(Journal!$F$5:$F$9353,Journal!$C$5:$C$9353,O$8,Journal!$D$5:$D$9353,$B91)</f>
        <v>0</v>
      </c>
      <c r="P92" s="21">
        <f>SUMIFS(Journal!$F$5:$F$9353,Journal!$C$5:$C$9353,P$8,Journal!$D$5:$D$9353,$B91)</f>
        <v>0</v>
      </c>
      <c r="Q92" s="21">
        <f>SUMIFS(Journal!$F$5:$F$9353,Journal!$C$5:$C$9353,Q$8,Journal!$D$5:$D$9353,$B91)</f>
        <v>0</v>
      </c>
      <c r="R92" s="21">
        <f>SUMIFS(Journal!$F$5:$F$9353,Journal!$C$5:$C$9353,R$8,Journal!$D$5:$D$9353,$B91)</f>
        <v>0</v>
      </c>
      <c r="S92" s="21">
        <f>SUMIFS(Journal!$F$5:$F$9353,Journal!$C$5:$C$9353,S$8,Journal!$D$5:$D$9353,$B91)</f>
        <v>0</v>
      </c>
      <c r="T92" s="21">
        <f>SUMIFS(Journal!$F$5:$F$9353,Journal!$C$5:$C$9353,T$8,Journal!$D$5:$D$9353,$B91)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SUMIFS(Journal!$F$5:$F$9353,Journal!$C$5:$C$9353,D$8,Journal!$D$5:$D$9353,$B93)</f>
        <v>0</v>
      </c>
      <c r="E94" s="21"/>
      <c r="F94" s="21">
        <f>SUMIFS(Journal!$F$5:$F$9353,Journal!$C$5:$C$9353,F$8,Journal!$D$5:$D$9353,$B93)</f>
        <v>0</v>
      </c>
      <c r="G94" s="21"/>
      <c r="H94" s="21">
        <f>SUMIFS(Journal!$F$5:$F$9353,Journal!$C$5:$C$9353,H$8,Journal!$D$5:$D$9353,$B93)</f>
        <v>0</v>
      </c>
      <c r="I94" s="21"/>
      <c r="J94" s="21">
        <f>SUMIFS(Journal!$F$5:$F$9353,Journal!$C$5:$C$9353,J$8,Journal!$D$5:$D$9353,$B93)</f>
        <v>0</v>
      </c>
      <c r="K94" s="21"/>
      <c r="L94" s="21">
        <f>SUMIFS(Journal!$F$5:$F$9353,Journal!$C$5:$C$9353,L$8,Journal!$D$5:$D$9353,$B93)</f>
        <v>0</v>
      </c>
      <c r="M94" s="21"/>
      <c r="N94" s="21">
        <f>SUMIFS(Journal!$F$5:$F$9353,Journal!$C$5:$C$9353,N$8,Journal!$D$5:$D$9353,$B93)</f>
        <v>0</v>
      </c>
      <c r="O94" s="21"/>
      <c r="P94" s="21">
        <f>SUMIFS(Journal!$F$5:$F$9353,Journal!$C$5:$C$9353,P$8,Journal!$D$5:$D$9353,$B93)</f>
        <v>0</v>
      </c>
      <c r="Q94" s="21"/>
      <c r="R94" s="21">
        <f>SUMIFS(Journal!$F$5:$F$9353,Journal!$C$5:$C$9353,R$8,Journal!$D$5:$D$9353,$B93)</f>
        <v>0</v>
      </c>
      <c r="S94" s="21"/>
      <c r="T94" s="21">
        <f>SUMIFS(Journal!$F$5:$F$9353,Journal!$C$5:$C$9353,T$8,Journal!$D$5:$D$9353,$B93)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SUMIFS(Journal!$F$5:$F$9353,Journal!$C$5:$C$9353,D$8,Journal!$D$5:$D$9353,$B95)</f>
        <v>0</v>
      </c>
      <c r="E96" s="21"/>
      <c r="F96" s="21">
        <f>SUMIFS(Journal!$F$5:$F$9353,Journal!$C$5:$C$9353,F$8,Journal!$D$5:$D$9353,$B95)</f>
        <v>0</v>
      </c>
      <c r="G96" s="21"/>
      <c r="H96" s="21">
        <f>SUMIFS(Journal!$F$5:$F$9353,Journal!$C$5:$C$9353,H$8,Journal!$D$5:$D$9353,$B95)</f>
        <v>0</v>
      </c>
      <c r="I96" s="21"/>
      <c r="J96" s="21">
        <f>SUMIFS(Journal!$F$5:$F$9353,Journal!$C$5:$C$9353,J$8,Journal!$D$5:$D$9353,$B95)</f>
        <v>0</v>
      </c>
      <c r="K96" s="21"/>
      <c r="L96" s="21">
        <f>SUMIFS(Journal!$F$5:$F$9353,Journal!$C$5:$C$9353,L$8,Journal!$D$5:$D$9353,$B95)</f>
        <v>0</v>
      </c>
      <c r="M96" s="21"/>
      <c r="N96" s="21">
        <f>SUMIFS(Journal!$F$5:$F$9353,Journal!$C$5:$C$9353,N$8,Journal!$D$5:$D$9353,$B95)</f>
        <v>0</v>
      </c>
      <c r="O96" s="21"/>
      <c r="P96" s="21">
        <f>SUMIFS(Journal!$F$5:$F$9353,Journal!$C$5:$C$9353,P$8,Journal!$D$5:$D$9353,$B95)</f>
        <v>0</v>
      </c>
      <c r="Q96" s="21"/>
      <c r="R96" s="21">
        <f>SUMIFS(Journal!$F$5:$F$9353,Journal!$C$5:$C$9353,R$8,Journal!$D$5:$D$9353,$B95)</f>
        <v>0</v>
      </c>
      <c r="S96" s="21"/>
      <c r="T96" s="21">
        <f>SUMIFS(Journal!$F$5:$F$9353,Journal!$C$5:$C$9353,T$8,Journal!$D$5:$D$9353,$B95)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SUMIFS(Journal!$F$5:$F$9353,Journal!$C$5:$C$9353,D$8,Journal!$D$5:$D$9353,$B97)</f>
        <v>0</v>
      </c>
      <c r="E98" s="21"/>
      <c r="F98" s="21">
        <f>SUMIFS(Journal!$F$5:$F$9353,Journal!$C$5:$C$9353,F$8,Journal!$D$5:$D$9353,$B97)</f>
        <v>0</v>
      </c>
      <c r="G98" s="21"/>
      <c r="H98" s="21">
        <f>SUMIFS(Journal!$F$5:$F$9353,Journal!$C$5:$C$9353,H$8,Journal!$D$5:$D$9353,$B97)</f>
        <v>0</v>
      </c>
      <c r="I98" s="21"/>
      <c r="J98" s="21">
        <f>SUMIFS(Journal!$F$5:$F$9353,Journal!$C$5:$C$9353,J$8,Journal!$D$5:$D$9353,$B97)</f>
        <v>0</v>
      </c>
      <c r="K98" s="21"/>
      <c r="L98" s="21">
        <f>SUMIFS(Journal!$F$5:$F$9353,Journal!$C$5:$C$9353,L$8,Journal!$D$5:$D$9353,$B97)</f>
        <v>0</v>
      </c>
      <c r="M98" s="21"/>
      <c r="N98" s="21">
        <f>SUMIFS(Journal!$F$5:$F$9353,Journal!$C$5:$C$9353,N$8,Journal!$D$5:$D$9353,$B97)</f>
        <v>0</v>
      </c>
      <c r="O98" s="21"/>
      <c r="P98" s="21">
        <f>SUMIFS(Journal!$F$5:$F$9353,Journal!$C$5:$C$9353,P$8,Journal!$D$5:$D$9353,$B97)</f>
        <v>0</v>
      </c>
      <c r="Q98" s="21"/>
      <c r="R98" s="21">
        <f>SUMIFS(Journal!$F$5:$F$9353,Journal!$C$5:$C$9353,R$8,Journal!$D$5:$D$9353,$B97)</f>
        <v>0</v>
      </c>
      <c r="S98" s="21"/>
      <c r="T98" s="21">
        <f>SUMIFS(Journal!$F$5:$F$9353,Journal!$C$5:$C$9353,T$8,Journal!$D$5:$D$9353,$B97)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SUMIFS(Journal!$F$5:$F$9353,Journal!$C$5:$C$9353,D$8,Journal!$D$5:$D$9353,$B99)</f>
        <v>0</v>
      </c>
      <c r="E100" s="21"/>
      <c r="F100" s="21">
        <f>SUMIFS(Journal!$F$5:$F$9353,Journal!$C$5:$C$9353,F$8,Journal!$D$5:$D$9353,$B99)</f>
        <v>0</v>
      </c>
      <c r="G100" s="21"/>
      <c r="H100" s="21">
        <f>SUMIFS(Journal!$F$5:$F$9353,Journal!$C$5:$C$9353,H$8,Journal!$D$5:$D$9353,$B99)</f>
        <v>0</v>
      </c>
      <c r="I100" s="21"/>
      <c r="J100" s="21">
        <f>SUMIFS(Journal!$F$5:$F$9353,Journal!$C$5:$C$9353,J$8,Journal!$D$5:$D$9353,$B99)</f>
        <v>0</v>
      </c>
      <c r="K100" s="21"/>
      <c r="L100" s="21">
        <f>SUMIFS(Journal!$F$5:$F$9353,Journal!$C$5:$C$9353,L$8,Journal!$D$5:$D$9353,$B99)</f>
        <v>0</v>
      </c>
      <c r="M100" s="21"/>
      <c r="N100" s="21">
        <f>SUMIFS(Journal!$F$5:$F$9353,Journal!$C$5:$C$9353,N$8,Journal!$D$5:$D$9353,$B99)</f>
        <v>0</v>
      </c>
      <c r="O100" s="21"/>
      <c r="P100" s="21">
        <f>SUMIFS(Journal!$F$5:$F$9353,Journal!$C$5:$C$9353,P$8,Journal!$D$5:$D$9353,$B99)</f>
        <v>0</v>
      </c>
      <c r="Q100" s="21"/>
      <c r="R100" s="21">
        <f>SUMIFS(Journal!$F$5:$F$9353,Journal!$C$5:$C$9353,R$8,Journal!$D$5:$D$9353,$B99)</f>
        <v>0</v>
      </c>
      <c r="S100" s="21"/>
      <c r="T100" s="21">
        <f>SUMIFS(Journal!$F$5:$F$9353,Journal!$C$5:$C$9353,T$8,Journal!$D$5:$D$9353,$B99)</f>
        <v>0</v>
      </c>
      <c r="U100" s="24" t="str">
        <f t="shared" si="8"/>
        <v/>
      </c>
    </row>
  </sheetData>
  <mergeCells count="18">
    <mergeCell ref="D3:T3"/>
    <mergeCell ref="A9:T10"/>
    <mergeCell ref="A23:T24"/>
    <mergeCell ref="A59:T60"/>
    <mergeCell ref="B11:B12"/>
    <mergeCell ref="B13:B14"/>
    <mergeCell ref="B15:B16"/>
    <mergeCell ref="B17:B18"/>
    <mergeCell ref="B19:B20"/>
    <mergeCell ref="B21:B22"/>
    <mergeCell ref="A73:T74"/>
    <mergeCell ref="A87:T88"/>
    <mergeCell ref="B25:B26"/>
    <mergeCell ref="B27:B28"/>
    <mergeCell ref="B29:B30"/>
    <mergeCell ref="B31:B32"/>
    <mergeCell ref="B33:B34"/>
    <mergeCell ref="B35:B36"/>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29"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28"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7"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6" priority="614" stopIfTrue="1" operator="greaterThan">
      <formula>0</formula>
    </cfRule>
  </conditionalFormatting>
  <conditionalFormatting sqref="L20:T20">
    <cfRule type="cellIs" dxfId="125" priority="578" operator="greaterThan">
      <formula>0</formula>
    </cfRule>
  </conditionalFormatting>
  <conditionalFormatting sqref="L19:Q19 S19">
    <cfRule type="cellIs" dxfId="124" priority="580" operator="greaterThan">
      <formula>0</formula>
    </cfRule>
  </conditionalFormatting>
  <conditionalFormatting sqref="U11 U13 U15 U17 U21">
    <cfRule type="cellIs" dxfId="123" priority="411" operator="greaterThan">
      <formula>0</formula>
    </cfRule>
  </conditionalFormatting>
  <conditionalFormatting sqref="U12 U14 U16 U18 U22">
    <cfRule type="cellIs" dxfId="122" priority="410" operator="greaterThan">
      <formula>0</formula>
    </cfRule>
  </conditionalFormatting>
  <conditionalFormatting sqref="U85">
    <cfRule type="cellIs" dxfId="121" priority="385" operator="greaterThan">
      <formula>0</formula>
    </cfRule>
  </conditionalFormatting>
  <conditionalFormatting sqref="U99 U97 U95 U93 U91 U83 U81 U79 U77 U75 U71 U69 U67 U65 U63 U61 U57 U49 U47 U45 U43 U41 U19 U89">
    <cfRule type="cellIs" dxfId="120" priority="359" operator="greaterThan">
      <formula>0</formula>
    </cfRule>
  </conditionalFormatting>
  <conditionalFormatting sqref="U100 U98 U96 U94 U92 U90 U86 U84 U82 U80 U78 U76 U72 U70 U68 U66 U64 U62 U58 U50 U48 U46 U44 U42 U20">
    <cfRule type="cellIs" dxfId="119" priority="358" operator="greaterThan">
      <formula>0</formula>
    </cfRule>
  </conditionalFormatting>
  <conditionalFormatting sqref="R19">
    <cfRule type="cellIs" dxfId="118" priority="338" operator="greaterThan">
      <formula>0</formula>
    </cfRule>
  </conditionalFormatting>
  <conditionalFormatting sqref="T19">
    <cfRule type="cellIs" dxfId="117"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6" priority="258" stopIfTrue="1" operator="greaterThan">
      <formula>0</formula>
    </cfRule>
  </conditionalFormatting>
  <conditionalFormatting sqref="E6:E7">
    <cfRule type="cellIs" dxfId="115" priority="257" stopIfTrue="1" operator="greaterThan">
      <formula>0</formula>
    </cfRule>
  </conditionalFormatting>
  <conditionalFormatting sqref="D13 D15 D11">
    <cfRule type="cellIs" dxfId="114" priority="246" operator="greaterThan">
      <formula>0</formula>
    </cfRule>
  </conditionalFormatting>
  <conditionalFormatting sqref="D16 D12 D14">
    <cfRule type="cellIs" dxfId="113" priority="245" operator="greaterThan">
      <formula>0</formula>
    </cfRule>
  </conditionalFormatting>
  <conditionalFormatting sqref="E19:K19 E21:K21 E17:K17">
    <cfRule type="cellIs" dxfId="112" priority="238" operator="greaterThan">
      <formula>0</formula>
    </cfRule>
  </conditionalFormatting>
  <conditionalFormatting sqref="E22:K22 E18:K18 E20:K20">
    <cfRule type="cellIs" dxfId="111" priority="237" operator="greaterThan">
      <formula>0</formula>
    </cfRule>
  </conditionalFormatting>
  <conditionalFormatting sqref="D19 D21 D17">
    <cfRule type="cellIs" dxfId="110" priority="236" operator="greaterThan">
      <formula>0</formula>
    </cfRule>
  </conditionalFormatting>
  <conditionalFormatting sqref="D22 D18 D20">
    <cfRule type="cellIs" dxfId="109"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08"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7"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6"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5" priority="177" stopIfTrue="1" operator="greaterThan">
      <formula>0</formula>
    </cfRule>
  </conditionalFormatting>
  <conditionalFormatting sqref="G6:G7">
    <cfRule type="cellIs" dxfId="104"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3"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2"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1"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0" priority="168" stopIfTrue="1" operator="greaterThan">
      <formula>0</formula>
    </cfRule>
  </conditionalFormatting>
  <conditionalFormatting sqref="G6:G7">
    <cfRule type="cellIs" dxfId="99"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98"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7"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6"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5"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4"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3" priority="155" stopIfTrue="1" operator="greaterThan">
      <formula>0</formula>
    </cfRule>
  </conditionalFormatting>
  <conditionalFormatting sqref="G6:G7">
    <cfRule type="cellIs" dxfId="92"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1"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0"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89"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88"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7"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6"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5"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4" priority="138" stopIfTrue="1" operator="greaterThan">
      <formula>0</formula>
    </cfRule>
  </conditionalFormatting>
  <conditionalFormatting sqref="M6:M7">
    <cfRule type="cellIs" dxfId="83"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2"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1" priority="133" stopIfTrue="1" operator="greaterThan">
      <formula>0</formula>
    </cfRule>
  </conditionalFormatting>
  <conditionalFormatting sqref="K6:K7">
    <cfRule type="cellIs" dxfId="80"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79"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78"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7"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6" priority="124" stopIfTrue="1" operator="greaterThan">
      <formula>0</formula>
    </cfRule>
  </conditionalFormatting>
  <conditionalFormatting sqref="M6:M7">
    <cfRule type="cellIs" dxfId="75"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4"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3"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2"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1" priority="115" stopIfTrue="1" operator="greaterThan">
      <formula>0</formula>
    </cfRule>
  </conditionalFormatting>
  <conditionalFormatting sqref="M6:M7">
    <cfRule type="cellIs" dxfId="70"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69"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68"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7"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6"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5"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4" priority="102" stopIfTrue="1" operator="greaterThan">
      <formula>0</formula>
    </cfRule>
  </conditionalFormatting>
  <conditionalFormatting sqref="M6:M7">
    <cfRule type="cellIs" dxfId="63"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2"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1"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0"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59"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58"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7"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6"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5" priority="85" stopIfTrue="1" operator="greaterThan">
      <formula>0</formula>
    </cfRule>
  </conditionalFormatting>
  <conditionalFormatting sqref="S6:S7">
    <cfRule type="cellIs" dxfId="54"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3"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2" priority="80" stopIfTrue="1" operator="greaterThan">
      <formula>0</formula>
    </cfRule>
  </conditionalFormatting>
  <conditionalFormatting sqref="Q6:Q7">
    <cfRule type="cellIs" dxfId="51"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0"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49"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48"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7" priority="71" stopIfTrue="1" operator="greaterThan">
      <formula>0</formula>
    </cfRule>
  </conditionalFormatting>
  <conditionalFormatting sqref="S6:S7">
    <cfRule type="cellIs" dxfId="46"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5"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4"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3"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2" priority="62" stopIfTrue="1" operator="greaterThan">
      <formula>0</formula>
    </cfRule>
  </conditionalFormatting>
  <conditionalFormatting sqref="S6:S7">
    <cfRule type="cellIs" dxfId="41"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0"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39"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38"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7"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6"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5" priority="49" stopIfTrue="1" operator="greaterThan">
      <formula>0</formula>
    </cfRule>
  </conditionalFormatting>
  <conditionalFormatting sqref="S6:S7">
    <cfRule type="cellIs" dxfId="34"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3"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2"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1"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0"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29"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28"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7"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6" priority="32" stopIfTrue="1" operator="greaterThan">
      <formula>0</formula>
    </cfRule>
  </conditionalFormatting>
  <conditionalFormatting sqref="D51:T51">
    <cfRule type="cellIs" dxfId="25" priority="31" operator="greaterThan">
      <formula>0</formula>
    </cfRule>
  </conditionalFormatting>
  <conditionalFormatting sqref="U51">
    <cfRule type="cellIs" dxfId="24" priority="29" operator="greaterThan">
      <formula>0</formula>
    </cfRule>
  </conditionalFormatting>
  <conditionalFormatting sqref="U52">
    <cfRule type="cellIs" dxfId="23" priority="28" operator="greaterThan">
      <formula>0</formula>
    </cfRule>
  </conditionalFormatting>
  <conditionalFormatting sqref="D53:T53">
    <cfRule type="cellIs" dxfId="22" priority="27" operator="greaterThan">
      <formula>0</formula>
    </cfRule>
  </conditionalFormatting>
  <conditionalFormatting sqref="D54:T54">
    <cfRule type="cellIs" dxfId="21" priority="20" operator="greaterThan">
      <formula>0</formula>
    </cfRule>
  </conditionalFormatting>
  <conditionalFormatting sqref="D52:T52">
    <cfRule type="cellIs" dxfId="20" priority="22" operator="greaterThan">
      <formula>0</formula>
    </cfRule>
  </conditionalFormatting>
  <conditionalFormatting sqref="D55:T55">
    <cfRule type="cellIs" dxfId="19" priority="19" operator="greaterThan">
      <formula>0</formula>
    </cfRule>
  </conditionalFormatting>
  <conditionalFormatting sqref="D56:T56">
    <cfRule type="cellIs" dxfId="18" priority="18" operator="greaterThan">
      <formula>0</formula>
    </cfRule>
  </conditionalFormatting>
  <conditionalFormatting sqref="U55">
    <cfRule type="cellIs" dxfId="17" priority="17" operator="greaterThan">
      <formula>0</formula>
    </cfRule>
  </conditionalFormatting>
  <conditionalFormatting sqref="U56">
    <cfRule type="cellIs" dxfId="16" priority="16" operator="greaterThan">
      <formula>0</formula>
    </cfRule>
  </conditionalFormatting>
  <conditionalFormatting sqref="U54">
    <cfRule type="cellIs" dxfId="15" priority="15" operator="greaterThan">
      <formula>0</formula>
    </cfRule>
  </conditionalFormatting>
  <conditionalFormatting sqref="U53">
    <cfRule type="cellIs" dxfId="14" priority="14" operator="greaterThan">
      <formula>0</formula>
    </cfRule>
  </conditionalFormatting>
  <conditionalFormatting sqref="D39:T39">
    <cfRule type="cellIs" dxfId="13" priority="13" operator="greaterThan">
      <formula>0</formula>
    </cfRule>
  </conditionalFormatting>
  <conditionalFormatting sqref="D40:T40">
    <cfRule type="cellIs" dxfId="12" priority="9" operator="greaterThan">
      <formula>0</formula>
    </cfRule>
  </conditionalFormatting>
  <conditionalFormatting sqref="U40">
    <cfRule type="cellIs" dxfId="11" priority="8" operator="greaterThan">
      <formula>0</formula>
    </cfRule>
  </conditionalFormatting>
  <conditionalFormatting sqref="U39">
    <cfRule type="cellIs" dxfId="10" priority="7" operator="greaterThan">
      <formula>0</formula>
    </cfRule>
  </conditionalFormatting>
  <conditionalFormatting sqref="D85:J85">
    <cfRule type="cellIs" dxfId="9" priority="6" operator="greaterThan">
      <formula>0</formula>
    </cfRule>
  </conditionalFormatting>
  <conditionalFormatting sqref="D86:J86">
    <cfRule type="cellIs" dxfId="8" priority="5" operator="greaterThan">
      <formula>0</formula>
    </cfRule>
  </conditionalFormatting>
  <conditionalFormatting sqref="N83:T83">
    <cfRule type="cellIs" dxfId="7" priority="4" operator="greaterThan">
      <formula>0</formula>
    </cfRule>
  </conditionalFormatting>
  <conditionalFormatting sqref="N84:T84">
    <cfRule type="cellIs" dxfId="6" priority="3" operator="greaterThan">
      <formula>0</formula>
    </cfRule>
  </conditionalFormatting>
  <conditionalFormatting sqref="L85:R85">
    <cfRule type="cellIs" dxfId="5" priority="2" operator="greaterThan">
      <formula>0</formula>
    </cfRule>
  </conditionalFormatting>
  <conditionalFormatting sqref="L86:R86">
    <cfRule type="cellIs" dxfId="4"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7">
        <f>WEEKNUM(C3,1)</f>
        <v>6</v>
      </c>
      <c r="D4" s="267"/>
      <c r="E4" s="267"/>
      <c r="F4" s="267"/>
      <c r="G4" s="267"/>
      <c r="H4" s="267"/>
      <c r="I4" s="267"/>
      <c r="J4" s="267">
        <f t="shared" ref="J4" si="1">WEEKNUM(J3,1)</f>
        <v>7</v>
      </c>
      <c r="K4" s="267"/>
      <c r="L4" s="267"/>
      <c r="M4" s="267"/>
      <c r="N4" s="267"/>
      <c r="O4" s="267"/>
      <c r="P4" s="267"/>
      <c r="Q4" s="267">
        <f t="shared" ref="Q4" si="2">WEEKNUM(Q3,1)</f>
        <v>8</v>
      </c>
      <c r="R4" s="267"/>
      <c r="S4" s="267"/>
      <c r="T4" s="267"/>
      <c r="U4" s="267"/>
      <c r="V4" s="267"/>
      <c r="W4" s="267"/>
      <c r="X4" s="267">
        <f t="shared" ref="X4" si="3">WEEKNUM(X3,1)</f>
        <v>9</v>
      </c>
      <c r="Y4" s="267"/>
      <c r="Z4" s="267"/>
      <c r="AA4" s="267"/>
      <c r="AB4" s="267"/>
      <c r="AC4" s="267"/>
      <c r="AD4" s="267"/>
      <c r="AE4" s="267">
        <f t="shared" ref="AE4" si="4">WEEKNUM(AE3,1)</f>
        <v>10</v>
      </c>
      <c r="AF4" s="267"/>
      <c r="AG4" s="267"/>
      <c r="AH4" s="267"/>
      <c r="AI4" s="267"/>
      <c r="AJ4" s="267"/>
      <c r="AK4" s="267"/>
      <c r="AL4" s="267">
        <f t="shared" ref="AL4" si="5">WEEKNUM(AL3,1)</f>
        <v>11</v>
      </c>
      <c r="AM4" s="267"/>
      <c r="AN4" s="267"/>
      <c r="AO4" s="267"/>
      <c r="AP4" s="267"/>
      <c r="AQ4" s="267"/>
      <c r="AR4" s="267"/>
      <c r="AS4" s="267">
        <f t="shared" ref="AS4" si="6">WEEKNUM(AS3,1)</f>
        <v>12</v>
      </c>
      <c r="AT4" s="267"/>
      <c r="AU4" s="267"/>
      <c r="AV4" s="267"/>
      <c r="AW4" s="267"/>
      <c r="AX4" s="267"/>
      <c r="AY4" s="267"/>
      <c r="AZ4" s="267">
        <f t="shared" ref="AZ4" si="7">WEEKNUM(AZ3,1)</f>
        <v>13</v>
      </c>
      <c r="BA4" s="267"/>
      <c r="BB4" s="267"/>
      <c r="BC4" s="267"/>
      <c r="BD4" s="267"/>
      <c r="BE4" s="267"/>
      <c r="BF4" s="267"/>
      <c r="BG4" s="123">
        <f>WEEKNUM(BG3,1)</f>
        <v>14</v>
      </c>
      <c r="BH4" s="88"/>
      <c r="BI4" s="88"/>
      <c r="BJ4" s="88"/>
      <c r="BK4" s="88"/>
      <c r="BL4" s="88"/>
      <c r="BM4" s="88"/>
    </row>
    <row r="5" spans="2:65" s="68" customFormat="1" ht="15.75" customHeight="1" x14ac:dyDescent="0.25">
      <c r="B5" s="235" t="str">
        <f>Base!F3</f>
        <v>1 Analyse</v>
      </c>
      <c r="C5" s="236"/>
      <c r="D5" s="236"/>
      <c r="E5" s="236"/>
      <c r="F5" s="236"/>
      <c r="G5" s="236"/>
      <c r="H5" s="236"/>
      <c r="I5" s="236"/>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236"/>
      <c r="AK5" s="236"/>
      <c r="AL5" s="236"/>
      <c r="AM5" s="236"/>
      <c r="AN5" s="236"/>
      <c r="AO5" s="236"/>
      <c r="AP5" s="236"/>
      <c r="AQ5" s="236"/>
      <c r="AR5" s="236"/>
      <c r="AS5" s="236"/>
      <c r="AT5" s="236"/>
      <c r="AU5" s="236"/>
      <c r="AV5" s="236"/>
      <c r="AW5" s="236"/>
      <c r="AX5" s="236"/>
      <c r="AY5" s="236"/>
      <c r="AZ5" s="236"/>
      <c r="BA5" s="236"/>
      <c r="BB5" s="236"/>
      <c r="BC5" s="236"/>
      <c r="BD5" s="236"/>
      <c r="BE5" s="236"/>
      <c r="BF5" s="236"/>
      <c r="BG5" s="237"/>
    </row>
    <row r="6" spans="2:65" s="68" customFormat="1" ht="15.75" customHeight="1" thickBot="1" x14ac:dyDescent="0.3">
      <c r="B6" s="238"/>
      <c r="C6" s="239"/>
      <c r="D6" s="239"/>
      <c r="E6" s="239"/>
      <c r="F6" s="239"/>
      <c r="G6" s="239"/>
      <c r="H6" s="239"/>
      <c r="I6" s="239"/>
      <c r="J6" s="239"/>
      <c r="K6" s="239"/>
      <c r="L6" s="239"/>
      <c r="M6" s="239"/>
      <c r="N6" s="239"/>
      <c r="O6" s="239"/>
      <c r="P6" s="239"/>
      <c r="Q6" s="239"/>
      <c r="R6" s="239"/>
      <c r="S6" s="239"/>
      <c r="T6" s="239"/>
      <c r="U6" s="239"/>
      <c r="V6" s="239"/>
      <c r="W6" s="239"/>
      <c r="X6" s="239"/>
      <c r="Y6" s="239"/>
      <c r="Z6" s="239"/>
      <c r="AA6" s="239"/>
      <c r="AB6" s="239"/>
      <c r="AC6" s="239"/>
      <c r="AD6" s="239"/>
      <c r="AE6" s="239"/>
      <c r="AF6" s="239"/>
      <c r="AG6" s="239"/>
      <c r="AH6" s="239"/>
      <c r="AI6" s="239"/>
      <c r="AJ6" s="239"/>
      <c r="AK6" s="239"/>
      <c r="AL6" s="239"/>
      <c r="AM6" s="239"/>
      <c r="AN6" s="239"/>
      <c r="AO6" s="239"/>
      <c r="AP6" s="239"/>
      <c r="AQ6" s="239"/>
      <c r="AR6" s="239"/>
      <c r="AS6" s="239"/>
      <c r="AT6" s="239"/>
      <c r="AU6" s="239"/>
      <c r="AV6" s="239"/>
      <c r="AW6" s="239"/>
      <c r="AX6" s="239"/>
      <c r="AY6" s="239"/>
      <c r="AZ6" s="239"/>
      <c r="BA6" s="239"/>
      <c r="BB6" s="239"/>
      <c r="BC6" s="239"/>
      <c r="BD6" s="239"/>
      <c r="BE6" s="239"/>
      <c r="BF6" s="239"/>
      <c r="BG6" s="240"/>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70" t="s">
        <v>57</v>
      </c>
      <c r="W7" s="271"/>
      <c r="X7" s="271"/>
      <c r="Y7" s="271"/>
      <c r="Z7" s="271"/>
      <c r="AA7" s="271"/>
      <c r="AB7" s="271"/>
      <c r="AC7" s="271"/>
      <c r="AD7" s="272"/>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61"/>
      <c r="W8" s="262"/>
      <c r="X8" s="262"/>
      <c r="Y8" s="262"/>
      <c r="Z8" s="262"/>
      <c r="AA8" s="262"/>
      <c r="AB8" s="262"/>
      <c r="AC8" s="262"/>
      <c r="AD8" s="263"/>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61"/>
      <c r="W9" s="262"/>
      <c r="X9" s="262"/>
      <c r="Y9" s="262"/>
      <c r="Z9" s="262"/>
      <c r="AA9" s="262"/>
      <c r="AB9" s="262"/>
      <c r="AC9" s="262"/>
      <c r="AD9" s="263"/>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61"/>
      <c r="W10" s="262"/>
      <c r="X10" s="262"/>
      <c r="Y10" s="262"/>
      <c r="Z10" s="262"/>
      <c r="AA10" s="262"/>
      <c r="AB10" s="262"/>
      <c r="AC10" s="262"/>
      <c r="AD10" s="263"/>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61"/>
      <c r="W11" s="262"/>
      <c r="X11" s="262"/>
      <c r="Y11" s="262"/>
      <c r="Z11" s="262"/>
      <c r="AA11" s="262"/>
      <c r="AB11" s="262"/>
      <c r="AC11" s="262"/>
      <c r="AD11" s="263"/>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61"/>
      <c r="W12" s="262"/>
      <c r="X12" s="262"/>
      <c r="Y12" s="262"/>
      <c r="Z12" s="262"/>
      <c r="AA12" s="262"/>
      <c r="AB12" s="262"/>
      <c r="AC12" s="262"/>
      <c r="AD12" s="263"/>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41" t="str">
        <f>Base!F9</f>
        <v>2 Conception</v>
      </c>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68"/>
    </row>
    <row r="14" spans="2:65" ht="15" customHeight="1" thickBot="1" x14ac:dyDescent="0.3">
      <c r="B14" s="243"/>
      <c r="C14" s="244"/>
      <c r="D14" s="244"/>
      <c r="E14" s="244"/>
      <c r="F14" s="244"/>
      <c r="G14" s="244"/>
      <c r="H14" s="244"/>
      <c r="I14" s="244"/>
      <c r="J14" s="244"/>
      <c r="K14" s="244"/>
      <c r="L14" s="244"/>
      <c r="M14" s="244"/>
      <c r="N14" s="244"/>
      <c r="O14" s="244"/>
      <c r="P14" s="244"/>
      <c r="Q14" s="244"/>
      <c r="R14" s="244"/>
      <c r="S14" s="244"/>
      <c r="T14" s="244"/>
      <c r="U14" s="244"/>
      <c r="V14" s="244"/>
      <c r="W14" s="244"/>
      <c r="X14" s="244"/>
      <c r="Y14" s="244"/>
      <c r="Z14" s="244"/>
      <c r="AA14" s="244"/>
      <c r="AB14" s="244"/>
      <c r="AC14" s="244"/>
      <c r="AD14" s="244"/>
      <c r="AE14" s="244"/>
      <c r="AF14" s="244"/>
      <c r="AG14" s="244"/>
      <c r="AH14" s="244"/>
      <c r="AI14" s="244"/>
      <c r="AJ14" s="244"/>
      <c r="AK14" s="244"/>
      <c r="AL14" s="244"/>
      <c r="AM14" s="244"/>
      <c r="AN14" s="244"/>
      <c r="AO14" s="244"/>
      <c r="AP14" s="244"/>
      <c r="AQ14" s="244"/>
      <c r="AR14" s="244"/>
      <c r="AS14" s="244"/>
      <c r="AT14" s="244"/>
      <c r="AU14" s="244"/>
      <c r="AV14" s="244"/>
      <c r="AW14" s="244"/>
      <c r="AX14" s="244"/>
      <c r="AY14" s="244"/>
      <c r="AZ14" s="244"/>
      <c r="BA14" s="244"/>
      <c r="BB14" s="244"/>
      <c r="BC14" s="244"/>
      <c r="BD14" s="244"/>
      <c r="BE14" s="244"/>
      <c r="BF14" s="244"/>
      <c r="BG14" s="269"/>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61" t="s">
        <v>58</v>
      </c>
      <c r="W15" s="262"/>
      <c r="X15" s="262"/>
      <c r="Y15" s="262"/>
      <c r="Z15" s="262"/>
      <c r="AA15" s="262"/>
      <c r="AB15" s="262"/>
      <c r="AC15" s="262"/>
      <c r="AD15" s="263"/>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61"/>
      <c r="W16" s="262"/>
      <c r="X16" s="262"/>
      <c r="Y16" s="262"/>
      <c r="Z16" s="262"/>
      <c r="AA16" s="262"/>
      <c r="AB16" s="262"/>
      <c r="AC16" s="262"/>
      <c r="AD16" s="263"/>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61"/>
      <c r="W17" s="262"/>
      <c r="X17" s="262"/>
      <c r="Y17" s="262"/>
      <c r="Z17" s="262"/>
      <c r="AA17" s="262"/>
      <c r="AB17" s="262"/>
      <c r="AC17" s="262"/>
      <c r="AD17" s="263"/>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61"/>
      <c r="W18" s="262"/>
      <c r="X18" s="262"/>
      <c r="Y18" s="262"/>
      <c r="Z18" s="262"/>
      <c r="AA18" s="262"/>
      <c r="AB18" s="262"/>
      <c r="AC18" s="262"/>
      <c r="AD18" s="263"/>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61"/>
      <c r="W19" s="262"/>
      <c r="X19" s="262"/>
      <c r="Y19" s="262"/>
      <c r="Z19" s="262"/>
      <c r="AA19" s="262"/>
      <c r="AB19" s="262"/>
      <c r="AC19" s="262"/>
      <c r="AD19" s="263"/>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61"/>
      <c r="W20" s="262"/>
      <c r="X20" s="262"/>
      <c r="Y20" s="262"/>
      <c r="Z20" s="262"/>
      <c r="AA20" s="262"/>
      <c r="AB20" s="262"/>
      <c r="AC20" s="262"/>
      <c r="AD20" s="263"/>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73" t="str">
        <f>Base!F15</f>
        <v>3 Implémentation</v>
      </c>
      <c r="C21" s="274"/>
      <c r="D21" s="274"/>
      <c r="E21" s="274"/>
      <c r="F21" s="274"/>
      <c r="G21" s="274"/>
      <c r="H21" s="274"/>
      <c r="I21" s="274"/>
      <c r="J21" s="274"/>
      <c r="K21" s="274"/>
      <c r="L21" s="274"/>
      <c r="M21" s="274"/>
      <c r="N21" s="274"/>
      <c r="O21" s="274"/>
      <c r="P21" s="274"/>
      <c r="Q21" s="274"/>
      <c r="R21" s="274"/>
      <c r="S21" s="274"/>
      <c r="T21" s="274"/>
      <c r="U21" s="274"/>
      <c r="V21" s="274"/>
      <c r="W21" s="274"/>
      <c r="X21" s="274"/>
      <c r="Y21" s="274"/>
      <c r="Z21" s="274"/>
      <c r="AA21" s="274"/>
      <c r="AB21" s="274"/>
      <c r="AC21" s="274"/>
      <c r="AD21" s="274"/>
      <c r="AE21" s="274"/>
      <c r="AF21" s="274"/>
      <c r="AG21" s="274"/>
      <c r="AH21" s="274"/>
      <c r="AI21" s="274"/>
      <c r="AJ21" s="274"/>
      <c r="AK21" s="274"/>
      <c r="AL21" s="274"/>
      <c r="AM21" s="274"/>
      <c r="AN21" s="274"/>
      <c r="AO21" s="274"/>
      <c r="AP21" s="274"/>
      <c r="AQ21" s="274"/>
      <c r="AR21" s="274"/>
      <c r="AS21" s="274"/>
      <c r="AT21" s="274"/>
      <c r="AU21" s="274"/>
      <c r="AV21" s="274"/>
      <c r="AW21" s="274"/>
      <c r="AX21" s="274"/>
      <c r="AY21" s="274"/>
      <c r="AZ21" s="274"/>
      <c r="BA21" s="274"/>
      <c r="BB21" s="274"/>
      <c r="BC21" s="274"/>
      <c r="BD21" s="274"/>
      <c r="BE21" s="274"/>
      <c r="BF21" s="274"/>
      <c r="BG21" s="275"/>
    </row>
    <row r="22" spans="2:59" ht="15.75" thickBot="1" x14ac:dyDescent="0.3">
      <c r="B22" s="276"/>
      <c r="C22" s="277"/>
      <c r="D22" s="277"/>
      <c r="E22" s="277"/>
      <c r="F22" s="277"/>
      <c r="G22" s="277"/>
      <c r="H22" s="277"/>
      <c r="I22" s="277"/>
      <c r="J22" s="277"/>
      <c r="K22" s="277"/>
      <c r="L22" s="277"/>
      <c r="M22" s="277"/>
      <c r="N22" s="277"/>
      <c r="O22" s="277"/>
      <c r="P22" s="277"/>
      <c r="Q22" s="277"/>
      <c r="R22" s="277"/>
      <c r="S22" s="277"/>
      <c r="T22" s="277"/>
      <c r="U22" s="277"/>
      <c r="V22" s="277"/>
      <c r="W22" s="277"/>
      <c r="X22" s="277"/>
      <c r="Y22" s="277"/>
      <c r="Z22" s="277"/>
      <c r="AA22" s="277"/>
      <c r="AB22" s="277"/>
      <c r="AC22" s="277"/>
      <c r="AD22" s="277"/>
      <c r="AE22" s="277"/>
      <c r="AF22" s="277"/>
      <c r="AG22" s="277"/>
      <c r="AH22" s="277"/>
      <c r="AI22" s="277"/>
      <c r="AJ22" s="277"/>
      <c r="AK22" s="277"/>
      <c r="AL22" s="277"/>
      <c r="AM22" s="277"/>
      <c r="AN22" s="277"/>
      <c r="AO22" s="277"/>
      <c r="AP22" s="277"/>
      <c r="AQ22" s="277"/>
      <c r="AR22" s="277"/>
      <c r="AS22" s="277"/>
      <c r="AT22" s="277"/>
      <c r="AU22" s="277"/>
      <c r="AV22" s="277"/>
      <c r="AW22" s="277"/>
      <c r="AX22" s="277"/>
      <c r="AY22" s="277"/>
      <c r="AZ22" s="277"/>
      <c r="BA22" s="277"/>
      <c r="BB22" s="277"/>
      <c r="BC22" s="277"/>
      <c r="BD22" s="277"/>
      <c r="BE22" s="277"/>
      <c r="BF22" s="277"/>
      <c r="BG22" s="278"/>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61" t="s">
        <v>59</v>
      </c>
      <c r="W23" s="262"/>
      <c r="X23" s="262"/>
      <c r="Y23" s="262"/>
      <c r="Z23" s="262"/>
      <c r="AA23" s="262"/>
      <c r="AB23" s="262"/>
      <c r="AC23" s="262"/>
      <c r="AD23" s="263"/>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61"/>
      <c r="W24" s="262"/>
      <c r="X24" s="262"/>
      <c r="Y24" s="262"/>
      <c r="Z24" s="262"/>
      <c r="AA24" s="262"/>
      <c r="AB24" s="262"/>
      <c r="AC24" s="262"/>
      <c r="AD24" s="263"/>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61"/>
      <c r="W25" s="262"/>
      <c r="X25" s="262"/>
      <c r="Y25" s="262"/>
      <c r="Z25" s="262"/>
      <c r="AA25" s="262"/>
      <c r="AB25" s="262"/>
      <c r="AC25" s="262"/>
      <c r="AD25" s="263"/>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61"/>
      <c r="W26" s="262"/>
      <c r="X26" s="262"/>
      <c r="Y26" s="262"/>
      <c r="Z26" s="262"/>
      <c r="AA26" s="262"/>
      <c r="AB26" s="262"/>
      <c r="AC26" s="262"/>
      <c r="AD26" s="263"/>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61"/>
      <c r="W27" s="262"/>
      <c r="X27" s="262"/>
      <c r="Y27" s="262"/>
      <c r="Z27" s="262"/>
      <c r="AA27" s="262"/>
      <c r="AB27" s="262"/>
      <c r="AC27" s="262"/>
      <c r="AD27" s="263"/>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61"/>
      <c r="W28" s="262"/>
      <c r="X28" s="262"/>
      <c r="Y28" s="262"/>
      <c r="Z28" s="262"/>
      <c r="AA28" s="262"/>
      <c r="AB28" s="262"/>
      <c r="AC28" s="262"/>
      <c r="AD28" s="263"/>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61"/>
      <c r="W29" s="262"/>
      <c r="X29" s="262"/>
      <c r="Y29" s="262"/>
      <c r="Z29" s="262"/>
      <c r="AA29" s="262"/>
      <c r="AB29" s="262"/>
      <c r="AC29" s="262"/>
      <c r="AD29" s="263"/>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1"/>
      <c r="W30" s="262"/>
      <c r="X30" s="262"/>
      <c r="Y30" s="262"/>
      <c r="Z30" s="262"/>
      <c r="AA30" s="262"/>
      <c r="AB30" s="262"/>
      <c r="AC30" s="262"/>
      <c r="AD30" s="263"/>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1"/>
      <c r="W31" s="262"/>
      <c r="X31" s="262"/>
      <c r="Y31" s="262"/>
      <c r="Z31" s="262"/>
      <c r="AA31" s="262"/>
      <c r="AB31" s="262"/>
      <c r="AC31" s="262"/>
      <c r="AD31" s="263"/>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1"/>
      <c r="W32" s="262"/>
      <c r="X32" s="262"/>
      <c r="Y32" s="262"/>
      <c r="Z32" s="262"/>
      <c r="AA32" s="262"/>
      <c r="AB32" s="262"/>
      <c r="AC32" s="262"/>
      <c r="AD32" s="263"/>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9" t="str">
        <f>Base!F25</f>
        <v>4 Tests</v>
      </c>
      <c r="C33" s="250"/>
      <c r="D33" s="250"/>
      <c r="E33" s="250"/>
      <c r="F33" s="250"/>
      <c r="G33" s="250"/>
      <c r="H33" s="250"/>
      <c r="I33" s="250"/>
      <c r="J33" s="250"/>
      <c r="K33" s="250"/>
      <c r="L33" s="250"/>
      <c r="M33" s="250"/>
      <c r="N33" s="250"/>
      <c r="O33" s="250"/>
      <c r="P33" s="250"/>
      <c r="Q33" s="250"/>
      <c r="R33" s="250"/>
      <c r="S33" s="250"/>
      <c r="T33" s="250"/>
      <c r="U33" s="250"/>
      <c r="V33" s="250"/>
      <c r="W33" s="250"/>
      <c r="X33" s="250"/>
      <c r="Y33" s="250"/>
      <c r="Z33" s="250"/>
      <c r="AA33" s="250"/>
      <c r="AB33" s="250"/>
      <c r="AC33" s="250"/>
      <c r="AD33" s="250"/>
      <c r="AE33" s="250"/>
      <c r="AF33" s="250"/>
      <c r="AG33" s="250"/>
      <c r="AH33" s="250"/>
      <c r="AI33" s="250"/>
      <c r="AJ33" s="250"/>
      <c r="AK33" s="250"/>
      <c r="AL33" s="250"/>
      <c r="AM33" s="250"/>
      <c r="AN33" s="250"/>
      <c r="AO33" s="250"/>
      <c r="AP33" s="250"/>
      <c r="AQ33" s="250"/>
      <c r="AR33" s="250"/>
      <c r="AS33" s="250"/>
      <c r="AT33" s="250"/>
      <c r="AU33" s="250"/>
      <c r="AV33" s="250"/>
      <c r="AW33" s="250"/>
      <c r="AX33" s="250"/>
      <c r="AY33" s="250"/>
      <c r="AZ33" s="250"/>
      <c r="BA33" s="250"/>
      <c r="BB33" s="250"/>
      <c r="BC33" s="250"/>
      <c r="BD33" s="250"/>
      <c r="BE33" s="250"/>
      <c r="BF33" s="250"/>
      <c r="BG33" s="251"/>
    </row>
    <row r="34" spans="2:59" ht="15.75" customHeight="1" thickBot="1" x14ac:dyDescent="0.3">
      <c r="B34" s="252"/>
      <c r="C34" s="253"/>
      <c r="D34" s="253"/>
      <c r="E34" s="253"/>
      <c r="F34" s="253"/>
      <c r="G34" s="253"/>
      <c r="H34" s="253"/>
      <c r="I34" s="253"/>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c r="AT34" s="253"/>
      <c r="AU34" s="253"/>
      <c r="AV34" s="253"/>
      <c r="AW34" s="253"/>
      <c r="AX34" s="253"/>
      <c r="AY34" s="253"/>
      <c r="AZ34" s="253"/>
      <c r="BA34" s="253"/>
      <c r="BB34" s="253"/>
      <c r="BC34" s="253"/>
      <c r="BD34" s="253"/>
      <c r="BE34" s="253"/>
      <c r="BF34" s="253"/>
      <c r="BG34" s="254"/>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61" t="s">
        <v>60</v>
      </c>
      <c r="W35" s="262"/>
      <c r="X35" s="262"/>
      <c r="Y35" s="262"/>
      <c r="Z35" s="262"/>
      <c r="AA35" s="262"/>
      <c r="AB35" s="262"/>
      <c r="AC35" s="262"/>
      <c r="AD35" s="263"/>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1"/>
      <c r="W36" s="262"/>
      <c r="X36" s="262"/>
      <c r="Y36" s="262"/>
      <c r="Z36" s="262"/>
      <c r="AA36" s="262"/>
      <c r="AB36" s="262"/>
      <c r="AC36" s="262"/>
      <c r="AD36" s="263"/>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1"/>
      <c r="W37" s="262"/>
      <c r="X37" s="262"/>
      <c r="Y37" s="262"/>
      <c r="Z37" s="262"/>
      <c r="AA37" s="262"/>
      <c r="AB37" s="262"/>
      <c r="AC37" s="262"/>
      <c r="AD37" s="263"/>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1"/>
      <c r="W38" s="262"/>
      <c r="X38" s="262"/>
      <c r="Y38" s="262"/>
      <c r="Z38" s="262"/>
      <c r="AA38" s="262"/>
      <c r="AB38" s="262"/>
      <c r="AC38" s="262"/>
      <c r="AD38" s="263"/>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1"/>
      <c r="W39" s="262"/>
      <c r="X39" s="262"/>
      <c r="Y39" s="262"/>
      <c r="Z39" s="262"/>
      <c r="AA39" s="262"/>
      <c r="AB39" s="262"/>
      <c r="AC39" s="262"/>
      <c r="AD39" s="263"/>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1"/>
      <c r="W40" s="262"/>
      <c r="X40" s="262"/>
      <c r="Y40" s="262"/>
      <c r="Z40" s="262"/>
      <c r="AA40" s="262"/>
      <c r="AB40" s="262"/>
      <c r="AC40" s="262"/>
      <c r="AD40" s="263"/>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5" t="str">
        <f>Base!F31</f>
        <v>5 Documentation</v>
      </c>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7"/>
    </row>
    <row r="42" spans="2:59" ht="15.75" thickBot="1" x14ac:dyDescent="0.3">
      <c r="B42" s="258"/>
      <c r="C42" s="259"/>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59"/>
      <c r="AB42" s="259"/>
      <c r="AC42" s="259"/>
      <c r="AD42" s="259"/>
      <c r="AE42" s="259"/>
      <c r="AF42" s="259"/>
      <c r="AG42" s="259"/>
      <c r="AH42" s="259"/>
      <c r="AI42" s="259"/>
      <c r="AJ42" s="259"/>
      <c r="AK42" s="259"/>
      <c r="AL42" s="259"/>
      <c r="AM42" s="259"/>
      <c r="AN42" s="259"/>
      <c r="AO42" s="259"/>
      <c r="AP42" s="259"/>
      <c r="AQ42" s="259"/>
      <c r="AR42" s="259"/>
      <c r="AS42" s="259"/>
      <c r="AT42" s="259"/>
      <c r="AU42" s="259"/>
      <c r="AV42" s="259"/>
      <c r="AW42" s="259"/>
      <c r="AX42" s="259"/>
      <c r="AY42" s="259"/>
      <c r="AZ42" s="259"/>
      <c r="BA42" s="259"/>
      <c r="BB42" s="259"/>
      <c r="BC42" s="259"/>
      <c r="BD42" s="259"/>
      <c r="BE42" s="259"/>
      <c r="BF42" s="259"/>
      <c r="BG42" s="260"/>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1" t="s">
        <v>61</v>
      </c>
      <c r="W43" s="262"/>
      <c r="X43" s="262"/>
      <c r="Y43" s="262"/>
      <c r="Z43" s="262"/>
      <c r="AA43" s="262"/>
      <c r="AB43" s="262"/>
      <c r="AC43" s="262"/>
      <c r="AD43" s="263"/>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1"/>
      <c r="W44" s="262"/>
      <c r="X44" s="262"/>
      <c r="Y44" s="262"/>
      <c r="Z44" s="262"/>
      <c r="AA44" s="262"/>
      <c r="AB44" s="262"/>
      <c r="AC44" s="262"/>
      <c r="AD44" s="263"/>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1"/>
      <c r="W45" s="262"/>
      <c r="X45" s="262"/>
      <c r="Y45" s="262"/>
      <c r="Z45" s="262"/>
      <c r="AA45" s="262"/>
      <c r="AB45" s="262"/>
      <c r="AC45" s="262"/>
      <c r="AD45" s="263"/>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1"/>
      <c r="W46" s="262"/>
      <c r="X46" s="262"/>
      <c r="Y46" s="262"/>
      <c r="Z46" s="262"/>
      <c r="AA46" s="262"/>
      <c r="AB46" s="262"/>
      <c r="AC46" s="262"/>
      <c r="AD46" s="263"/>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1"/>
      <c r="W47" s="262"/>
      <c r="X47" s="262"/>
      <c r="Y47" s="262"/>
      <c r="Z47" s="262"/>
      <c r="AA47" s="262"/>
      <c r="AB47" s="262"/>
      <c r="AC47" s="262"/>
      <c r="AD47" s="263"/>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64"/>
      <c r="W48" s="265"/>
      <c r="X48" s="265"/>
      <c r="Y48" s="265"/>
      <c r="Z48" s="265"/>
      <c r="AA48" s="265"/>
      <c r="AB48" s="265"/>
      <c r="AC48" s="265"/>
      <c r="AD48" s="266"/>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5:BG6"/>
    <mergeCell ref="B13:BG14"/>
    <mergeCell ref="V7:AD12"/>
    <mergeCell ref="B21:BG22"/>
    <mergeCell ref="V15:AD20"/>
    <mergeCell ref="AE4:AK4"/>
    <mergeCell ref="AL4:AR4"/>
    <mergeCell ref="AS4:AY4"/>
    <mergeCell ref="AZ4:BF4"/>
    <mergeCell ref="C4:I4"/>
    <mergeCell ref="J4:P4"/>
    <mergeCell ref="Q4:W4"/>
    <mergeCell ref="X4:AD4"/>
    <mergeCell ref="B33:BG34"/>
    <mergeCell ref="B41:BG42"/>
    <mergeCell ref="V23:AD32"/>
    <mergeCell ref="V35:AD40"/>
    <mergeCell ref="V43:AD4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7">
        <f>WEEKNUM(C3,1)</f>
        <v>6</v>
      </c>
      <c r="D4" s="267"/>
      <c r="E4" s="267"/>
      <c r="F4" s="267"/>
      <c r="G4" s="267"/>
      <c r="H4" s="267"/>
      <c r="I4" s="267"/>
      <c r="J4" s="267">
        <f t="shared" ref="J4" si="1">WEEKNUM(J3,1)</f>
        <v>7</v>
      </c>
      <c r="K4" s="267"/>
      <c r="L4" s="267"/>
      <c r="M4" s="267"/>
      <c r="N4" s="267"/>
      <c r="O4" s="267"/>
      <c r="P4" s="267"/>
      <c r="Q4" s="267">
        <f t="shared" ref="Q4" si="2">WEEKNUM(Q3,1)</f>
        <v>8</v>
      </c>
      <c r="R4" s="267"/>
      <c r="S4" s="267"/>
      <c r="T4" s="267"/>
      <c r="U4" s="267"/>
      <c r="V4" s="267"/>
      <c r="W4" s="267"/>
      <c r="X4" s="267">
        <f t="shared" ref="X4" si="3">WEEKNUM(X3,1)</f>
        <v>9</v>
      </c>
      <c r="Y4" s="267"/>
      <c r="Z4" s="267"/>
      <c r="AA4" s="267"/>
      <c r="AB4" s="267"/>
      <c r="AC4" s="267"/>
      <c r="AD4" s="267"/>
      <c r="AE4" s="267">
        <f t="shared" ref="AE4" si="4">WEEKNUM(AE3,1)</f>
        <v>10</v>
      </c>
      <c r="AF4" s="267"/>
      <c r="AG4" s="267"/>
      <c r="AH4" s="267"/>
      <c r="AI4" s="267"/>
      <c r="AJ4" s="267"/>
      <c r="AK4" s="267"/>
      <c r="AL4" s="267">
        <f t="shared" ref="AL4" si="5">WEEKNUM(AL3,1)</f>
        <v>11</v>
      </c>
      <c r="AM4" s="267"/>
      <c r="AN4" s="267"/>
      <c r="AO4" s="267"/>
      <c r="AP4" s="267"/>
      <c r="AQ4" s="267"/>
      <c r="AR4" s="267"/>
      <c r="AS4" s="267">
        <f t="shared" ref="AS4" si="6">WEEKNUM(AS3,1)</f>
        <v>12</v>
      </c>
      <c r="AT4" s="267"/>
      <c r="AU4" s="267"/>
      <c r="AV4" s="267"/>
      <c r="AW4" s="267"/>
      <c r="AX4" s="267"/>
      <c r="AY4" s="267"/>
      <c r="AZ4" s="267">
        <f t="shared" ref="AZ4" si="7">WEEKNUM(AZ3,1)</f>
        <v>13</v>
      </c>
      <c r="BA4" s="267"/>
      <c r="BB4" s="267"/>
      <c r="BC4" s="267"/>
      <c r="BD4" s="267"/>
      <c r="BE4" s="267"/>
      <c r="BF4" s="267"/>
      <c r="BG4" s="123">
        <f>WEEKNUM(BG3,1)</f>
        <v>14</v>
      </c>
      <c r="BH4" s="88"/>
      <c r="BI4" s="88"/>
      <c r="BJ4" s="88"/>
      <c r="BK4" s="88"/>
      <c r="BL4" s="88"/>
      <c r="BM4" s="88"/>
    </row>
    <row r="5" spans="2:65" s="68" customFormat="1" ht="15.75" customHeight="1" x14ac:dyDescent="0.25">
      <c r="B5" s="235" t="str">
        <f>Base!F3</f>
        <v>1 Analyse</v>
      </c>
      <c r="C5" s="236"/>
      <c r="D5" s="236"/>
      <c r="E5" s="236"/>
      <c r="F5" s="236"/>
      <c r="G5" s="236"/>
      <c r="H5" s="236"/>
      <c r="I5" s="236"/>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236"/>
      <c r="AK5" s="236"/>
      <c r="AL5" s="236"/>
      <c r="AM5" s="236"/>
      <c r="AN5" s="236"/>
      <c r="AO5" s="236"/>
      <c r="AP5" s="236"/>
      <c r="AQ5" s="236"/>
      <c r="AR5" s="236"/>
      <c r="AS5" s="236"/>
      <c r="AT5" s="236"/>
      <c r="AU5" s="236"/>
      <c r="AV5" s="236"/>
      <c r="AW5" s="236"/>
      <c r="AX5" s="236"/>
      <c r="AY5" s="236"/>
      <c r="AZ5" s="236"/>
      <c r="BA5" s="236"/>
      <c r="BB5" s="236"/>
      <c r="BC5" s="236"/>
      <c r="BD5" s="236"/>
      <c r="BE5" s="236"/>
      <c r="BF5" s="236"/>
      <c r="BG5" s="237"/>
    </row>
    <row r="6" spans="2:65" s="68" customFormat="1" ht="15.75" customHeight="1" thickBot="1" x14ac:dyDescent="0.3">
      <c r="B6" s="238"/>
      <c r="C6" s="239"/>
      <c r="D6" s="239"/>
      <c r="E6" s="239"/>
      <c r="F6" s="239"/>
      <c r="G6" s="239"/>
      <c r="H6" s="239"/>
      <c r="I6" s="239"/>
      <c r="J6" s="239"/>
      <c r="K6" s="239"/>
      <c r="L6" s="239"/>
      <c r="M6" s="239"/>
      <c r="N6" s="239"/>
      <c r="O6" s="239"/>
      <c r="P6" s="239"/>
      <c r="Q6" s="239"/>
      <c r="R6" s="239"/>
      <c r="S6" s="239"/>
      <c r="T6" s="239"/>
      <c r="U6" s="239"/>
      <c r="V6" s="239"/>
      <c r="W6" s="239"/>
      <c r="X6" s="239"/>
      <c r="Y6" s="239"/>
      <c r="Z6" s="239"/>
      <c r="AA6" s="239"/>
      <c r="AB6" s="239"/>
      <c r="AC6" s="239"/>
      <c r="AD6" s="239"/>
      <c r="AE6" s="239"/>
      <c r="AF6" s="239"/>
      <c r="AG6" s="239"/>
      <c r="AH6" s="239"/>
      <c r="AI6" s="239"/>
      <c r="AJ6" s="239"/>
      <c r="AK6" s="239"/>
      <c r="AL6" s="239"/>
      <c r="AM6" s="239"/>
      <c r="AN6" s="239"/>
      <c r="AO6" s="239"/>
      <c r="AP6" s="239"/>
      <c r="AQ6" s="239"/>
      <c r="AR6" s="239"/>
      <c r="AS6" s="239"/>
      <c r="AT6" s="239"/>
      <c r="AU6" s="239"/>
      <c r="AV6" s="239"/>
      <c r="AW6" s="239"/>
      <c r="AX6" s="239"/>
      <c r="AY6" s="239"/>
      <c r="AZ6" s="239"/>
      <c r="BA6" s="239"/>
      <c r="BB6" s="239"/>
      <c r="BC6" s="239"/>
      <c r="BD6" s="239"/>
      <c r="BE6" s="239"/>
      <c r="BF6" s="239"/>
      <c r="BG6" s="240"/>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61" t="s">
        <v>57</v>
      </c>
      <c r="W7" s="262"/>
      <c r="X7" s="262"/>
      <c r="Y7" s="262"/>
      <c r="Z7" s="262"/>
      <c r="AA7" s="262"/>
      <c r="AB7" s="262"/>
      <c r="AC7" s="262"/>
      <c r="AD7" s="263"/>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61"/>
      <c r="W8" s="262"/>
      <c r="X8" s="262"/>
      <c r="Y8" s="262"/>
      <c r="Z8" s="262"/>
      <c r="AA8" s="262"/>
      <c r="AB8" s="262"/>
      <c r="AC8" s="262"/>
      <c r="AD8" s="263"/>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61"/>
      <c r="W9" s="262"/>
      <c r="X9" s="262"/>
      <c r="Y9" s="262"/>
      <c r="Z9" s="262"/>
      <c r="AA9" s="262"/>
      <c r="AB9" s="262"/>
      <c r="AC9" s="262"/>
      <c r="AD9" s="263"/>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0"/>
      <c r="I10" s="112"/>
      <c r="J10" s="101"/>
      <c r="K10" s="71"/>
      <c r="L10" s="71"/>
      <c r="M10" s="71"/>
      <c r="N10" s="92"/>
      <c r="O10" s="111"/>
      <c r="P10" s="112"/>
      <c r="Q10" s="101"/>
      <c r="R10" s="71"/>
      <c r="S10" s="71"/>
      <c r="T10" s="71"/>
      <c r="U10" s="92"/>
      <c r="V10" s="261"/>
      <c r="W10" s="262"/>
      <c r="X10" s="262"/>
      <c r="Y10" s="262"/>
      <c r="Z10" s="262"/>
      <c r="AA10" s="262"/>
      <c r="AB10" s="262"/>
      <c r="AC10" s="262"/>
      <c r="AD10" s="263"/>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0"/>
      <c r="I11" s="112"/>
      <c r="J11" s="101"/>
      <c r="K11" s="71"/>
      <c r="L11" s="71"/>
      <c r="M11" s="71"/>
      <c r="N11" s="115"/>
      <c r="O11" s="111"/>
      <c r="P11" s="112"/>
      <c r="Q11" s="101"/>
      <c r="R11" s="71"/>
      <c r="S11" s="71"/>
      <c r="T11" s="71"/>
      <c r="U11" s="92"/>
      <c r="V11" s="261"/>
      <c r="W11" s="262"/>
      <c r="X11" s="262"/>
      <c r="Y11" s="262"/>
      <c r="Z11" s="262"/>
      <c r="AA11" s="262"/>
      <c r="AB11" s="262"/>
      <c r="AC11" s="262"/>
      <c r="AD11" s="263"/>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196"/>
      <c r="R12" s="114"/>
      <c r="S12" s="114"/>
      <c r="T12" s="114"/>
      <c r="U12" s="115"/>
      <c r="V12" s="261"/>
      <c r="W12" s="262"/>
      <c r="X12" s="262"/>
      <c r="Y12" s="262"/>
      <c r="Z12" s="262"/>
      <c r="AA12" s="262"/>
      <c r="AB12" s="262"/>
      <c r="AC12" s="262"/>
      <c r="AD12" s="263"/>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41" t="str">
        <f>Base!F9</f>
        <v>2 Conception</v>
      </c>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68"/>
    </row>
    <row r="14" spans="2:65" ht="15" customHeight="1" thickBot="1" x14ac:dyDescent="0.3">
      <c r="B14" s="243"/>
      <c r="C14" s="244"/>
      <c r="D14" s="244"/>
      <c r="E14" s="244"/>
      <c r="F14" s="244"/>
      <c r="G14" s="244"/>
      <c r="H14" s="244"/>
      <c r="I14" s="244"/>
      <c r="J14" s="244"/>
      <c r="K14" s="244"/>
      <c r="L14" s="244"/>
      <c r="M14" s="244"/>
      <c r="N14" s="244"/>
      <c r="O14" s="244"/>
      <c r="P14" s="244"/>
      <c r="Q14" s="244"/>
      <c r="R14" s="244"/>
      <c r="S14" s="244"/>
      <c r="T14" s="244"/>
      <c r="U14" s="244"/>
      <c r="V14" s="244"/>
      <c r="W14" s="244"/>
      <c r="X14" s="244"/>
      <c r="Y14" s="244"/>
      <c r="Z14" s="244"/>
      <c r="AA14" s="244"/>
      <c r="AB14" s="244"/>
      <c r="AC14" s="244"/>
      <c r="AD14" s="244"/>
      <c r="AE14" s="244"/>
      <c r="AF14" s="244"/>
      <c r="AG14" s="244"/>
      <c r="AH14" s="244"/>
      <c r="AI14" s="244"/>
      <c r="AJ14" s="244"/>
      <c r="AK14" s="244"/>
      <c r="AL14" s="244"/>
      <c r="AM14" s="244"/>
      <c r="AN14" s="244"/>
      <c r="AO14" s="244"/>
      <c r="AP14" s="244"/>
      <c r="AQ14" s="244"/>
      <c r="AR14" s="244"/>
      <c r="AS14" s="244"/>
      <c r="AT14" s="244"/>
      <c r="AU14" s="244"/>
      <c r="AV14" s="244"/>
      <c r="AW14" s="244"/>
      <c r="AX14" s="244"/>
      <c r="AY14" s="244"/>
      <c r="AZ14" s="244"/>
      <c r="BA14" s="244"/>
      <c r="BB14" s="244"/>
      <c r="BC14" s="244"/>
      <c r="BD14" s="244"/>
      <c r="BE14" s="244"/>
      <c r="BF14" s="244"/>
      <c r="BG14" s="269"/>
    </row>
    <row r="15" spans="2:65" ht="15" customHeight="1" x14ac:dyDescent="0.25">
      <c r="B15" s="39" t="str">
        <f>Base!G9</f>
        <v>21 Base de données (MCD, MLD)</v>
      </c>
      <c r="C15" s="78"/>
      <c r="D15" s="79"/>
      <c r="E15" s="79"/>
      <c r="F15" s="79"/>
      <c r="G15" s="192"/>
      <c r="H15" s="111"/>
      <c r="I15" s="112"/>
      <c r="J15" s="71"/>
      <c r="K15" s="75"/>
      <c r="L15" s="75"/>
      <c r="M15" s="71"/>
      <c r="N15" s="71"/>
      <c r="O15" s="111"/>
      <c r="P15" s="112"/>
      <c r="Q15" s="100"/>
      <c r="R15" s="79"/>
      <c r="S15" s="79"/>
      <c r="T15" s="79"/>
      <c r="U15" s="91"/>
      <c r="V15" s="261" t="s">
        <v>58</v>
      </c>
      <c r="W15" s="262"/>
      <c r="X15" s="262"/>
      <c r="Y15" s="262"/>
      <c r="Z15" s="262"/>
      <c r="AA15" s="262"/>
      <c r="AB15" s="262"/>
      <c r="AC15" s="262"/>
      <c r="AD15" s="263"/>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61"/>
      <c r="W16" s="262"/>
      <c r="X16" s="262"/>
      <c r="Y16" s="262"/>
      <c r="Z16" s="262"/>
      <c r="AA16" s="262"/>
      <c r="AB16" s="262"/>
      <c r="AC16" s="262"/>
      <c r="AD16" s="263"/>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61"/>
      <c r="W17" s="262"/>
      <c r="X17" s="262"/>
      <c r="Y17" s="262"/>
      <c r="Z17" s="262"/>
      <c r="AA17" s="262"/>
      <c r="AB17" s="262"/>
      <c r="AC17" s="262"/>
      <c r="AD17" s="263"/>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61"/>
      <c r="W18" s="262"/>
      <c r="X18" s="262"/>
      <c r="Y18" s="262"/>
      <c r="Z18" s="262"/>
      <c r="AA18" s="262"/>
      <c r="AB18" s="262"/>
      <c r="AC18" s="262"/>
      <c r="AD18" s="263"/>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61"/>
      <c r="W19" s="262"/>
      <c r="X19" s="262"/>
      <c r="Y19" s="262"/>
      <c r="Z19" s="262"/>
      <c r="AA19" s="262"/>
      <c r="AB19" s="262"/>
      <c r="AC19" s="262"/>
      <c r="AD19" s="263"/>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61"/>
      <c r="W20" s="262"/>
      <c r="X20" s="262"/>
      <c r="Y20" s="262"/>
      <c r="Z20" s="262"/>
      <c r="AA20" s="262"/>
      <c r="AB20" s="262"/>
      <c r="AC20" s="262"/>
      <c r="AD20" s="263"/>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73" t="str">
        <f>Base!F15</f>
        <v>3 Implémentation</v>
      </c>
      <c r="C21" s="274"/>
      <c r="D21" s="274"/>
      <c r="E21" s="274"/>
      <c r="F21" s="274"/>
      <c r="G21" s="274"/>
      <c r="H21" s="274"/>
      <c r="I21" s="274"/>
      <c r="J21" s="274"/>
      <c r="K21" s="274"/>
      <c r="L21" s="274"/>
      <c r="M21" s="274"/>
      <c r="N21" s="274"/>
      <c r="O21" s="274"/>
      <c r="P21" s="274"/>
      <c r="Q21" s="274"/>
      <c r="R21" s="274"/>
      <c r="S21" s="274"/>
      <c r="T21" s="274"/>
      <c r="U21" s="274"/>
      <c r="V21" s="274"/>
      <c r="W21" s="274"/>
      <c r="X21" s="274"/>
      <c r="Y21" s="274"/>
      <c r="Z21" s="274"/>
      <c r="AA21" s="274"/>
      <c r="AB21" s="274"/>
      <c r="AC21" s="274"/>
      <c r="AD21" s="274"/>
      <c r="AE21" s="274"/>
      <c r="AF21" s="274"/>
      <c r="AG21" s="274"/>
      <c r="AH21" s="274"/>
      <c r="AI21" s="274"/>
      <c r="AJ21" s="274"/>
      <c r="AK21" s="274"/>
      <c r="AL21" s="274"/>
      <c r="AM21" s="274"/>
      <c r="AN21" s="274"/>
      <c r="AO21" s="274"/>
      <c r="AP21" s="274"/>
      <c r="AQ21" s="274"/>
      <c r="AR21" s="274"/>
      <c r="AS21" s="274"/>
      <c r="AT21" s="274"/>
      <c r="AU21" s="274"/>
      <c r="AV21" s="274"/>
      <c r="AW21" s="274"/>
      <c r="AX21" s="274"/>
      <c r="AY21" s="274"/>
      <c r="AZ21" s="274"/>
      <c r="BA21" s="274"/>
      <c r="BB21" s="274"/>
      <c r="BC21" s="274"/>
      <c r="BD21" s="274"/>
      <c r="BE21" s="274"/>
      <c r="BF21" s="274"/>
      <c r="BG21" s="275"/>
    </row>
    <row r="22" spans="2:59" ht="15.75" thickBot="1" x14ac:dyDescent="0.3">
      <c r="B22" s="276"/>
      <c r="C22" s="277"/>
      <c r="D22" s="277"/>
      <c r="E22" s="277"/>
      <c r="F22" s="277"/>
      <c r="G22" s="277"/>
      <c r="H22" s="277"/>
      <c r="I22" s="277"/>
      <c r="J22" s="277"/>
      <c r="K22" s="277"/>
      <c r="L22" s="277"/>
      <c r="M22" s="277"/>
      <c r="N22" s="277"/>
      <c r="O22" s="277"/>
      <c r="P22" s="277"/>
      <c r="Q22" s="277"/>
      <c r="R22" s="277"/>
      <c r="S22" s="277"/>
      <c r="T22" s="277"/>
      <c r="U22" s="277"/>
      <c r="V22" s="277"/>
      <c r="W22" s="277"/>
      <c r="X22" s="277"/>
      <c r="Y22" s="277"/>
      <c r="Z22" s="277"/>
      <c r="AA22" s="277"/>
      <c r="AB22" s="277"/>
      <c r="AC22" s="277"/>
      <c r="AD22" s="277"/>
      <c r="AE22" s="277"/>
      <c r="AF22" s="277"/>
      <c r="AG22" s="277"/>
      <c r="AH22" s="277"/>
      <c r="AI22" s="277"/>
      <c r="AJ22" s="277"/>
      <c r="AK22" s="277"/>
      <c r="AL22" s="277"/>
      <c r="AM22" s="277"/>
      <c r="AN22" s="277"/>
      <c r="AO22" s="277"/>
      <c r="AP22" s="277"/>
      <c r="AQ22" s="277"/>
      <c r="AR22" s="277"/>
      <c r="AS22" s="277"/>
      <c r="AT22" s="277"/>
      <c r="AU22" s="277"/>
      <c r="AV22" s="277"/>
      <c r="AW22" s="277"/>
      <c r="AX22" s="277"/>
      <c r="AY22" s="277"/>
      <c r="AZ22" s="277"/>
      <c r="BA22" s="277"/>
      <c r="BB22" s="277"/>
      <c r="BC22" s="277"/>
      <c r="BD22" s="277"/>
      <c r="BE22" s="277"/>
      <c r="BF22" s="277"/>
      <c r="BG22" s="278"/>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61" t="s">
        <v>59</v>
      </c>
      <c r="W23" s="262"/>
      <c r="X23" s="262"/>
      <c r="Y23" s="262"/>
      <c r="Z23" s="262"/>
      <c r="AA23" s="262"/>
      <c r="AB23" s="262"/>
      <c r="AC23" s="262"/>
      <c r="AD23" s="263"/>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61"/>
      <c r="W24" s="262"/>
      <c r="X24" s="262"/>
      <c r="Y24" s="262"/>
      <c r="Z24" s="262"/>
      <c r="AA24" s="262"/>
      <c r="AB24" s="262"/>
      <c r="AC24" s="262"/>
      <c r="AD24" s="263"/>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61"/>
      <c r="W25" s="262"/>
      <c r="X25" s="262"/>
      <c r="Y25" s="262"/>
      <c r="Z25" s="262"/>
      <c r="AA25" s="262"/>
      <c r="AB25" s="262"/>
      <c r="AC25" s="262"/>
      <c r="AD25" s="263"/>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97"/>
      <c r="T26" s="70"/>
      <c r="U26" s="93"/>
      <c r="V26" s="261"/>
      <c r="W26" s="262"/>
      <c r="X26" s="262"/>
      <c r="Y26" s="262"/>
      <c r="Z26" s="262"/>
      <c r="AA26" s="262"/>
      <c r="AB26" s="262"/>
      <c r="AC26" s="262"/>
      <c r="AD26" s="263"/>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1"/>
      <c r="R27" s="70"/>
      <c r="S27" s="156"/>
      <c r="T27" s="154"/>
      <c r="U27" s="93"/>
      <c r="V27" s="261"/>
      <c r="W27" s="262"/>
      <c r="X27" s="262"/>
      <c r="Y27" s="262"/>
      <c r="Z27" s="262"/>
      <c r="AA27" s="262"/>
      <c r="AB27" s="262"/>
      <c r="AC27" s="262"/>
      <c r="AD27" s="263"/>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0"/>
      <c r="Q28" s="193"/>
      <c r="R28" s="70"/>
      <c r="S28" s="70"/>
      <c r="T28" s="154"/>
      <c r="U28" s="93"/>
      <c r="V28" s="261"/>
      <c r="W28" s="262"/>
      <c r="X28" s="262"/>
      <c r="Y28" s="262"/>
      <c r="Z28" s="262"/>
      <c r="AA28" s="262"/>
      <c r="AB28" s="262"/>
      <c r="AC28" s="262"/>
      <c r="AD28" s="263"/>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61"/>
      <c r="W29" s="262"/>
      <c r="X29" s="262"/>
      <c r="Y29" s="262"/>
      <c r="Z29" s="262"/>
      <c r="AA29" s="262"/>
      <c r="AB29" s="262"/>
      <c r="AC29" s="262"/>
      <c r="AD29" s="263"/>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1"/>
      <c r="W30" s="262"/>
      <c r="X30" s="262"/>
      <c r="Y30" s="262"/>
      <c r="Z30" s="262"/>
      <c r="AA30" s="262"/>
      <c r="AB30" s="262"/>
      <c r="AC30" s="262"/>
      <c r="AD30" s="263"/>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1"/>
      <c r="W31" s="262"/>
      <c r="X31" s="262"/>
      <c r="Y31" s="262"/>
      <c r="Z31" s="262"/>
      <c r="AA31" s="262"/>
      <c r="AB31" s="262"/>
      <c r="AC31" s="262"/>
      <c r="AD31" s="263"/>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1"/>
      <c r="W32" s="262"/>
      <c r="X32" s="262"/>
      <c r="Y32" s="262"/>
      <c r="Z32" s="262"/>
      <c r="AA32" s="262"/>
      <c r="AB32" s="262"/>
      <c r="AC32" s="262"/>
      <c r="AD32" s="263"/>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9" t="str">
        <f>Base!F25</f>
        <v>4 Tests</v>
      </c>
      <c r="C33" s="250"/>
      <c r="D33" s="250"/>
      <c r="E33" s="250"/>
      <c r="F33" s="250"/>
      <c r="G33" s="250"/>
      <c r="H33" s="250"/>
      <c r="I33" s="250"/>
      <c r="J33" s="250"/>
      <c r="K33" s="250"/>
      <c r="L33" s="250"/>
      <c r="M33" s="250"/>
      <c r="N33" s="250"/>
      <c r="O33" s="250"/>
      <c r="P33" s="250"/>
      <c r="Q33" s="250"/>
      <c r="R33" s="250"/>
      <c r="S33" s="250"/>
      <c r="T33" s="250"/>
      <c r="U33" s="250"/>
      <c r="V33" s="250"/>
      <c r="W33" s="250"/>
      <c r="X33" s="250"/>
      <c r="Y33" s="250"/>
      <c r="Z33" s="250"/>
      <c r="AA33" s="250"/>
      <c r="AB33" s="250"/>
      <c r="AC33" s="250"/>
      <c r="AD33" s="250"/>
      <c r="AE33" s="250"/>
      <c r="AF33" s="250"/>
      <c r="AG33" s="250"/>
      <c r="AH33" s="250"/>
      <c r="AI33" s="250"/>
      <c r="AJ33" s="250"/>
      <c r="AK33" s="250"/>
      <c r="AL33" s="250"/>
      <c r="AM33" s="250"/>
      <c r="AN33" s="250"/>
      <c r="AO33" s="250"/>
      <c r="AP33" s="250"/>
      <c r="AQ33" s="250"/>
      <c r="AR33" s="250"/>
      <c r="AS33" s="250"/>
      <c r="AT33" s="250"/>
      <c r="AU33" s="250"/>
      <c r="AV33" s="250"/>
      <c r="AW33" s="250"/>
      <c r="AX33" s="250"/>
      <c r="AY33" s="250"/>
      <c r="AZ33" s="250"/>
      <c r="BA33" s="250"/>
      <c r="BB33" s="250"/>
      <c r="BC33" s="250"/>
      <c r="BD33" s="250"/>
      <c r="BE33" s="250"/>
      <c r="BF33" s="250"/>
      <c r="BG33" s="251"/>
    </row>
    <row r="34" spans="2:59" ht="15.75" customHeight="1" thickBot="1" x14ac:dyDescent="0.3">
      <c r="B34" s="252"/>
      <c r="C34" s="253"/>
      <c r="D34" s="253"/>
      <c r="E34" s="253"/>
      <c r="F34" s="253"/>
      <c r="G34" s="253"/>
      <c r="H34" s="253"/>
      <c r="I34" s="253"/>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c r="AT34" s="253"/>
      <c r="AU34" s="253"/>
      <c r="AV34" s="253"/>
      <c r="AW34" s="253"/>
      <c r="AX34" s="253"/>
      <c r="AY34" s="253"/>
      <c r="AZ34" s="253"/>
      <c r="BA34" s="253"/>
      <c r="BB34" s="253"/>
      <c r="BC34" s="253"/>
      <c r="BD34" s="253"/>
      <c r="BE34" s="253"/>
      <c r="BF34" s="253"/>
      <c r="BG34" s="254"/>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32"/>
      <c r="U35" s="133"/>
      <c r="V35" s="261" t="s">
        <v>60</v>
      </c>
      <c r="W35" s="262"/>
      <c r="X35" s="262"/>
      <c r="Y35" s="262"/>
      <c r="Z35" s="262"/>
      <c r="AA35" s="262"/>
      <c r="AB35" s="262"/>
      <c r="AC35" s="262"/>
      <c r="AD35" s="263"/>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1"/>
      <c r="W36" s="262"/>
      <c r="X36" s="262"/>
      <c r="Y36" s="262"/>
      <c r="Z36" s="262"/>
      <c r="AA36" s="262"/>
      <c r="AB36" s="262"/>
      <c r="AC36" s="262"/>
      <c r="AD36" s="263"/>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1"/>
      <c r="W37" s="262"/>
      <c r="X37" s="262"/>
      <c r="Y37" s="262"/>
      <c r="Z37" s="262"/>
      <c r="AA37" s="262"/>
      <c r="AB37" s="262"/>
      <c r="AC37" s="262"/>
      <c r="AD37" s="263"/>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1"/>
      <c r="W38" s="262"/>
      <c r="X38" s="262"/>
      <c r="Y38" s="262"/>
      <c r="Z38" s="262"/>
      <c r="AA38" s="262"/>
      <c r="AB38" s="262"/>
      <c r="AC38" s="262"/>
      <c r="AD38" s="263"/>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1"/>
      <c r="W39" s="262"/>
      <c r="X39" s="262"/>
      <c r="Y39" s="262"/>
      <c r="Z39" s="262"/>
      <c r="AA39" s="262"/>
      <c r="AB39" s="262"/>
      <c r="AC39" s="262"/>
      <c r="AD39" s="263"/>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1"/>
      <c r="W40" s="262"/>
      <c r="X40" s="262"/>
      <c r="Y40" s="262"/>
      <c r="Z40" s="262"/>
      <c r="AA40" s="262"/>
      <c r="AB40" s="262"/>
      <c r="AC40" s="262"/>
      <c r="AD40" s="263"/>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5" t="str">
        <f>Base!F31</f>
        <v>5 Documentation</v>
      </c>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7"/>
    </row>
    <row r="42" spans="2:59" ht="15.75" thickBot="1" x14ac:dyDescent="0.3">
      <c r="B42" s="258"/>
      <c r="C42" s="259"/>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59"/>
      <c r="AB42" s="259"/>
      <c r="AC42" s="259"/>
      <c r="AD42" s="259"/>
      <c r="AE42" s="259"/>
      <c r="AF42" s="259"/>
      <c r="AG42" s="259"/>
      <c r="AH42" s="259"/>
      <c r="AI42" s="259"/>
      <c r="AJ42" s="259"/>
      <c r="AK42" s="259"/>
      <c r="AL42" s="259"/>
      <c r="AM42" s="259"/>
      <c r="AN42" s="259"/>
      <c r="AO42" s="259"/>
      <c r="AP42" s="259"/>
      <c r="AQ42" s="259"/>
      <c r="AR42" s="259"/>
      <c r="AS42" s="259"/>
      <c r="AT42" s="259"/>
      <c r="AU42" s="259"/>
      <c r="AV42" s="259"/>
      <c r="AW42" s="259"/>
      <c r="AX42" s="259"/>
      <c r="AY42" s="259"/>
      <c r="AZ42" s="259"/>
      <c r="BA42" s="259"/>
      <c r="BB42" s="259"/>
      <c r="BC42" s="259"/>
      <c r="BD42" s="259"/>
      <c r="BE42" s="259"/>
      <c r="BF42" s="259"/>
      <c r="BG42" s="260"/>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1" t="s">
        <v>61</v>
      </c>
      <c r="W43" s="262"/>
      <c r="X43" s="262"/>
      <c r="Y43" s="262"/>
      <c r="Z43" s="262"/>
      <c r="AA43" s="262"/>
      <c r="AB43" s="262"/>
      <c r="AC43" s="262"/>
      <c r="AD43" s="263"/>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1"/>
      <c r="W44" s="262"/>
      <c r="X44" s="262"/>
      <c r="Y44" s="262"/>
      <c r="Z44" s="262"/>
      <c r="AA44" s="262"/>
      <c r="AB44" s="262"/>
      <c r="AC44" s="262"/>
      <c r="AD44" s="263"/>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1"/>
      <c r="W45" s="262"/>
      <c r="X45" s="262"/>
      <c r="Y45" s="262"/>
      <c r="Z45" s="262"/>
      <c r="AA45" s="262"/>
      <c r="AB45" s="262"/>
      <c r="AC45" s="262"/>
      <c r="AD45" s="263"/>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1"/>
      <c r="W46" s="262"/>
      <c r="X46" s="262"/>
      <c r="Y46" s="262"/>
      <c r="Z46" s="262"/>
      <c r="AA46" s="262"/>
      <c r="AB46" s="262"/>
      <c r="AC46" s="262"/>
      <c r="AD46" s="263"/>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1"/>
      <c r="W47" s="262"/>
      <c r="X47" s="262"/>
      <c r="Y47" s="262"/>
      <c r="Z47" s="262"/>
      <c r="AA47" s="262"/>
      <c r="AB47" s="262"/>
      <c r="AC47" s="262"/>
      <c r="AD47" s="263"/>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64"/>
      <c r="W48" s="265"/>
      <c r="X48" s="265"/>
      <c r="Y48" s="265"/>
      <c r="Z48" s="265"/>
      <c r="AA48" s="265"/>
      <c r="AB48" s="265"/>
      <c r="AC48" s="265"/>
      <c r="AD48" s="266"/>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V23:AD32"/>
    <mergeCell ref="B33:BG34"/>
    <mergeCell ref="V35:AD40"/>
    <mergeCell ref="B41:BG42"/>
    <mergeCell ref="V43:AD48"/>
    <mergeCell ref="B21:BG22"/>
    <mergeCell ref="V15:AD20"/>
    <mergeCell ref="C4:I4"/>
    <mergeCell ref="J4:P4"/>
    <mergeCell ref="Q4:W4"/>
    <mergeCell ref="X4:AD4"/>
    <mergeCell ref="AS4:AY4"/>
    <mergeCell ref="AZ4:BF4"/>
    <mergeCell ref="B5:BG6"/>
    <mergeCell ref="V7:AD12"/>
    <mergeCell ref="B13:BG14"/>
    <mergeCell ref="AE4:AK4"/>
    <mergeCell ref="AL4:AR4"/>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23"/>
  <sheetViews>
    <sheetView tabSelected="1" topLeftCell="C1" zoomScale="130" zoomScaleNormal="130" workbookViewId="0">
      <pane ySplit="3" topLeftCell="A64" activePane="bottomLeft" state="frozen"/>
      <selection pane="bottomLeft" activeCell="G73" sqref="G73"/>
    </sheetView>
  </sheetViews>
  <sheetFormatPr baseColWidth="10" defaultColWidth="11.42578125" defaultRowHeight="15" x14ac:dyDescent="0.25"/>
  <cols>
    <col min="1" max="1" width="2" style="158" customWidth="1"/>
    <col min="2" max="2" width="17.28515625" style="160" bestFit="1" customWidth="1"/>
    <col min="3" max="3" width="11" style="160" customWidth="1"/>
    <col min="4" max="4" width="29.7109375" style="160" bestFit="1" customWidth="1"/>
    <col min="5" max="5" width="8.5703125" style="160" bestFit="1" customWidth="1"/>
    <col min="6" max="6" width="7.28515625" style="160" bestFit="1" customWidth="1"/>
    <col min="7" max="7" width="53" style="189" customWidth="1"/>
    <col min="8" max="16384" width="11.42578125" style="158"/>
  </cols>
  <sheetData>
    <row r="1" spans="2:7" x14ac:dyDescent="0.25">
      <c r="C1" s="159" t="s">
        <v>5</v>
      </c>
      <c r="D1" s="194" t="str">
        <f>CONCATENATE(Base!C3," ",Base!D3)</f>
        <v>Costa Paola</v>
      </c>
      <c r="F1" s="161"/>
      <c r="G1" s="195" t="s">
        <v>103</v>
      </c>
    </row>
    <row r="2" spans="2:7" ht="42.75" customHeight="1" thickBot="1" x14ac:dyDescent="0.3">
      <c r="B2" s="279" t="s">
        <v>102</v>
      </c>
      <c r="C2" s="279"/>
      <c r="D2" s="279"/>
      <c r="E2" s="279"/>
      <c r="F2" s="279"/>
      <c r="G2" s="279"/>
    </row>
    <row r="3" spans="2:7" ht="15.75" thickBot="1" x14ac:dyDescent="0.3">
      <c r="B3" s="162" t="s">
        <v>1</v>
      </c>
      <c r="C3" s="162" t="s">
        <v>78</v>
      </c>
      <c r="D3" s="163" t="s">
        <v>6</v>
      </c>
      <c r="E3" s="164" t="s">
        <v>64</v>
      </c>
      <c r="F3" s="162" t="s">
        <v>2</v>
      </c>
      <c r="G3" s="186" t="s">
        <v>3</v>
      </c>
    </row>
    <row r="4" spans="2:7" ht="30" customHeight="1" x14ac:dyDescent="0.25">
      <c r="B4" s="165">
        <v>44228</v>
      </c>
      <c r="C4" s="166">
        <f>WEEKNUM(B4,1)</f>
        <v>6</v>
      </c>
      <c r="D4" s="167" t="s">
        <v>71</v>
      </c>
      <c r="E4" s="168"/>
      <c r="F4" s="169">
        <v>2.0833333333333332E-2</v>
      </c>
      <c r="G4" s="187" t="s">
        <v>118</v>
      </c>
    </row>
    <row r="5" spans="2:7" x14ac:dyDescent="0.25">
      <c r="B5" s="165">
        <v>44228</v>
      </c>
      <c r="C5" s="166">
        <f>WEEKNUM(B5,1)</f>
        <v>6</v>
      </c>
      <c r="D5" s="167" t="s">
        <v>47</v>
      </c>
      <c r="E5" s="168" t="s">
        <v>66</v>
      </c>
      <c r="F5" s="169">
        <v>4.1666666666666664E-2</v>
      </c>
      <c r="G5" s="187" t="s">
        <v>30</v>
      </c>
    </row>
    <row r="6" spans="2:7" x14ac:dyDescent="0.25">
      <c r="B6" s="170">
        <v>44228</v>
      </c>
      <c r="C6" s="171">
        <f>WEEKNUM(B6,1)</f>
        <v>6</v>
      </c>
      <c r="D6" s="172" t="s">
        <v>50</v>
      </c>
      <c r="E6" s="173"/>
      <c r="F6" s="174">
        <v>6.9444444444444441E-3</v>
      </c>
      <c r="G6" s="155" t="s">
        <v>49</v>
      </c>
    </row>
    <row r="7" spans="2:7" x14ac:dyDescent="0.25">
      <c r="B7" s="170">
        <v>44228</v>
      </c>
      <c r="C7" s="171">
        <f t="shared" ref="C7:C118" si="0">WEEKNUM(B7,1)</f>
        <v>6</v>
      </c>
      <c r="D7" s="172" t="s">
        <v>47</v>
      </c>
      <c r="E7" s="173" t="s">
        <v>65</v>
      </c>
      <c r="F7" s="174">
        <v>2.0833333333333332E-2</v>
      </c>
      <c r="G7" s="155" t="s">
        <v>54</v>
      </c>
    </row>
    <row r="8" spans="2:7" x14ac:dyDescent="0.25">
      <c r="B8" s="170">
        <v>44230</v>
      </c>
      <c r="C8" s="171">
        <f t="shared" si="0"/>
        <v>6</v>
      </c>
      <c r="D8" s="172" t="s">
        <v>44</v>
      </c>
      <c r="E8" s="173" t="s">
        <v>65</v>
      </c>
      <c r="F8" s="174">
        <v>2.0833333333333332E-2</v>
      </c>
      <c r="G8" s="155" t="s">
        <v>121</v>
      </c>
    </row>
    <row r="9" spans="2:7" ht="30" x14ac:dyDescent="0.25">
      <c r="B9" s="170">
        <v>44230</v>
      </c>
      <c r="C9" s="171">
        <f t="shared" si="0"/>
        <v>6</v>
      </c>
      <c r="D9" s="172" t="s">
        <v>48</v>
      </c>
      <c r="E9" s="173" t="s">
        <v>66</v>
      </c>
      <c r="F9" s="174">
        <v>2.0833333333333332E-2</v>
      </c>
      <c r="G9" s="155" t="s">
        <v>55</v>
      </c>
    </row>
    <row r="10" spans="2:7" x14ac:dyDescent="0.25">
      <c r="B10" s="170">
        <v>44231</v>
      </c>
      <c r="C10" s="171">
        <f t="shared" si="0"/>
        <v>6</v>
      </c>
      <c r="D10" s="172" t="s">
        <v>48</v>
      </c>
      <c r="E10" s="173" t="s">
        <v>65</v>
      </c>
      <c r="F10" s="174">
        <v>2.0833333333333332E-2</v>
      </c>
      <c r="G10" s="155" t="s">
        <v>63</v>
      </c>
    </row>
    <row r="11" spans="2:7" x14ac:dyDescent="0.25">
      <c r="B11" s="170">
        <v>44231</v>
      </c>
      <c r="C11" s="171">
        <f t="shared" si="0"/>
        <v>6</v>
      </c>
      <c r="D11" s="172" t="s">
        <v>45</v>
      </c>
      <c r="E11" s="173" t="s">
        <v>65</v>
      </c>
      <c r="F11" s="174">
        <v>2.0833333333333332E-2</v>
      </c>
      <c r="G11" s="155" t="s">
        <v>67</v>
      </c>
    </row>
    <row r="12" spans="2:7" x14ac:dyDescent="0.25">
      <c r="B12" s="170">
        <v>44231</v>
      </c>
      <c r="C12" s="171">
        <f t="shared" si="0"/>
        <v>6</v>
      </c>
      <c r="D12" s="172" t="s">
        <v>26</v>
      </c>
      <c r="E12" s="173" t="s">
        <v>66</v>
      </c>
      <c r="F12" s="174">
        <v>1.3888888888888888E-2</v>
      </c>
      <c r="G12" s="155" t="s">
        <v>68</v>
      </c>
    </row>
    <row r="13" spans="2:7" ht="30" x14ac:dyDescent="0.25">
      <c r="B13" s="170">
        <v>44232</v>
      </c>
      <c r="C13" s="171">
        <f t="shared" si="0"/>
        <v>6</v>
      </c>
      <c r="D13" s="172" t="s">
        <v>47</v>
      </c>
      <c r="E13" s="173" t="s">
        <v>65</v>
      </c>
      <c r="F13" s="174">
        <v>3.125E-2</v>
      </c>
      <c r="G13" s="155" t="s">
        <v>119</v>
      </c>
    </row>
    <row r="14" spans="2:7" x14ac:dyDescent="0.25">
      <c r="B14" s="170">
        <v>44232</v>
      </c>
      <c r="C14" s="171">
        <f t="shared" si="0"/>
        <v>6</v>
      </c>
      <c r="D14" s="172" t="s">
        <v>50</v>
      </c>
      <c r="E14" s="173"/>
      <c r="F14" s="174">
        <v>6.9444444444444441E-3</v>
      </c>
      <c r="G14" s="155" t="s">
        <v>73</v>
      </c>
    </row>
    <row r="15" spans="2:7" x14ac:dyDescent="0.25">
      <c r="B15" s="170">
        <v>44232</v>
      </c>
      <c r="C15" s="171">
        <f t="shared" si="0"/>
        <v>6</v>
      </c>
      <c r="D15" s="172" t="s">
        <v>46</v>
      </c>
      <c r="E15" s="175" t="s">
        <v>65</v>
      </c>
      <c r="F15" s="174">
        <v>2.0833333333333332E-2</v>
      </c>
      <c r="G15" s="155" t="s">
        <v>75</v>
      </c>
    </row>
    <row r="16" spans="2:7" x14ac:dyDescent="0.25">
      <c r="B16" s="170">
        <v>44232</v>
      </c>
      <c r="C16" s="171">
        <f t="shared" si="0"/>
        <v>6</v>
      </c>
      <c r="D16" s="172" t="s">
        <v>26</v>
      </c>
      <c r="E16" s="173" t="s">
        <v>66</v>
      </c>
      <c r="F16" s="174">
        <v>2.4305555555555556E-2</v>
      </c>
      <c r="G16" s="155" t="s">
        <v>76</v>
      </c>
    </row>
    <row r="17" spans="2:8" ht="30" x14ac:dyDescent="0.25">
      <c r="B17" s="170">
        <v>44232</v>
      </c>
      <c r="C17" s="171">
        <f t="shared" si="0"/>
        <v>6</v>
      </c>
      <c r="D17" s="172" t="s">
        <v>71</v>
      </c>
      <c r="E17" s="173"/>
      <c r="F17" s="174">
        <v>6.9444444444444441E-3</v>
      </c>
      <c r="G17" s="155" t="s">
        <v>92</v>
      </c>
    </row>
    <row r="18" spans="2:8" ht="30" x14ac:dyDescent="0.25">
      <c r="B18" s="170">
        <v>44232</v>
      </c>
      <c r="C18" s="171">
        <f t="shared" si="0"/>
        <v>6</v>
      </c>
      <c r="D18" s="172" t="s">
        <v>26</v>
      </c>
      <c r="E18" s="173" t="s">
        <v>66</v>
      </c>
      <c r="F18" s="174">
        <v>1.3888888888888888E-2</v>
      </c>
      <c r="G18" s="155" t="s">
        <v>77</v>
      </c>
    </row>
    <row r="19" spans="2:8" ht="30" x14ac:dyDescent="0.25">
      <c r="B19" s="170">
        <v>44232</v>
      </c>
      <c r="C19" s="171">
        <f t="shared" ref="C19" si="1">WEEKNUM(B19,1)</f>
        <v>6</v>
      </c>
      <c r="D19" s="172" t="s">
        <v>50</v>
      </c>
      <c r="E19" s="173"/>
      <c r="F19" s="174">
        <v>3.125E-2</v>
      </c>
      <c r="G19" s="155" t="s">
        <v>81</v>
      </c>
    </row>
    <row r="20" spans="2:8" ht="30" x14ac:dyDescent="0.25">
      <c r="B20" s="170">
        <v>44232</v>
      </c>
      <c r="C20" s="171">
        <f t="shared" si="0"/>
        <v>6</v>
      </c>
      <c r="D20" s="172" t="s">
        <v>25</v>
      </c>
      <c r="E20" s="173" t="s">
        <v>66</v>
      </c>
      <c r="F20" s="174">
        <v>1.3888888888888888E-2</v>
      </c>
      <c r="G20" s="155" t="s">
        <v>120</v>
      </c>
    </row>
    <row r="21" spans="2:8" ht="15.75" thickBot="1" x14ac:dyDescent="0.3">
      <c r="B21" s="210"/>
      <c r="C21" s="211"/>
      <c r="D21" s="212"/>
      <c r="E21" s="213"/>
      <c r="F21" s="214"/>
      <c r="G21" s="215"/>
    </row>
    <row r="22" spans="2:8" x14ac:dyDescent="0.25">
      <c r="B22" s="216">
        <v>44235</v>
      </c>
      <c r="C22" s="217">
        <f t="shared" si="0"/>
        <v>7</v>
      </c>
      <c r="D22" s="218" t="s">
        <v>26</v>
      </c>
      <c r="E22" s="219" t="s">
        <v>66</v>
      </c>
      <c r="F22" s="220">
        <v>3.125E-2</v>
      </c>
      <c r="G22" s="221" t="s">
        <v>85</v>
      </c>
    </row>
    <row r="23" spans="2:8" ht="45" x14ac:dyDescent="0.25">
      <c r="B23" s="170">
        <v>44235</v>
      </c>
      <c r="C23" s="171">
        <f t="shared" si="0"/>
        <v>7</v>
      </c>
      <c r="D23" s="172" t="s">
        <v>50</v>
      </c>
      <c r="E23" s="173"/>
      <c r="F23" s="174">
        <v>3.125E-2</v>
      </c>
      <c r="G23" s="155" t="s">
        <v>91</v>
      </c>
    </row>
    <row r="24" spans="2:8" ht="30" x14ac:dyDescent="0.25">
      <c r="B24" s="170">
        <v>44235</v>
      </c>
      <c r="C24" s="171">
        <f t="shared" si="0"/>
        <v>7</v>
      </c>
      <c r="D24" s="172" t="s">
        <v>25</v>
      </c>
      <c r="E24" s="173" t="s">
        <v>66</v>
      </c>
      <c r="F24" s="174">
        <v>1.3888888888888888E-2</v>
      </c>
      <c r="G24" s="155" t="s">
        <v>93</v>
      </c>
    </row>
    <row r="25" spans="2:8" x14ac:dyDescent="0.25">
      <c r="B25" s="170">
        <v>44235</v>
      </c>
      <c r="C25" s="171">
        <f t="shared" si="0"/>
        <v>7</v>
      </c>
      <c r="D25" s="172" t="s">
        <v>25</v>
      </c>
      <c r="E25" s="173" t="s">
        <v>66</v>
      </c>
      <c r="F25" s="174">
        <v>4.8611111111111112E-2</v>
      </c>
      <c r="G25" s="155" t="s">
        <v>86</v>
      </c>
    </row>
    <row r="26" spans="2:8" ht="30" x14ac:dyDescent="0.25">
      <c r="B26" s="170">
        <v>44235</v>
      </c>
      <c r="C26" s="171">
        <f t="shared" si="0"/>
        <v>7</v>
      </c>
      <c r="D26" s="172" t="s">
        <v>50</v>
      </c>
      <c r="E26" s="173"/>
      <c r="F26" s="174">
        <v>1.0416666666666666E-2</v>
      </c>
      <c r="G26" s="155" t="s">
        <v>90</v>
      </c>
      <c r="H26" s="158" t="s">
        <v>88</v>
      </c>
    </row>
    <row r="27" spans="2:8" x14ac:dyDescent="0.25">
      <c r="B27" s="170">
        <v>44237</v>
      </c>
      <c r="C27" s="171">
        <f t="shared" si="0"/>
        <v>7</v>
      </c>
      <c r="D27" s="172" t="s">
        <v>25</v>
      </c>
      <c r="E27" s="173" t="s">
        <v>65</v>
      </c>
      <c r="F27" s="174">
        <v>4.1666666666666664E-2</v>
      </c>
      <c r="G27" s="155" t="s">
        <v>87</v>
      </c>
    </row>
    <row r="28" spans="2:8" ht="60" x14ac:dyDescent="0.25">
      <c r="B28" s="170">
        <v>44238</v>
      </c>
      <c r="C28" s="171">
        <f t="shared" si="0"/>
        <v>7</v>
      </c>
      <c r="D28" s="172" t="s">
        <v>50</v>
      </c>
      <c r="E28" s="173"/>
      <c r="F28" s="174">
        <v>1.3888888888888888E-2</v>
      </c>
      <c r="G28" s="155" t="s">
        <v>89</v>
      </c>
    </row>
    <row r="29" spans="2:8" ht="30" x14ac:dyDescent="0.25">
      <c r="B29" s="170">
        <v>44238</v>
      </c>
      <c r="C29" s="171">
        <f t="shared" si="0"/>
        <v>7</v>
      </c>
      <c r="D29" s="172" t="s">
        <v>53</v>
      </c>
      <c r="E29" s="173" t="s">
        <v>66</v>
      </c>
      <c r="F29" s="174">
        <v>3.4722222222222224E-2</v>
      </c>
      <c r="G29" s="155" t="s">
        <v>94</v>
      </c>
    </row>
    <row r="30" spans="2:8" ht="30" x14ac:dyDescent="0.25">
      <c r="B30" s="170">
        <v>44238</v>
      </c>
      <c r="C30" s="171">
        <f t="shared" si="0"/>
        <v>7</v>
      </c>
      <c r="D30" s="172" t="s">
        <v>50</v>
      </c>
      <c r="E30" s="173"/>
      <c r="F30" s="174">
        <v>1.3888888888888888E-2</v>
      </c>
      <c r="G30" s="155" t="s">
        <v>95</v>
      </c>
    </row>
    <row r="31" spans="2:8" ht="75" x14ac:dyDescent="0.25">
      <c r="B31" s="170">
        <v>44239</v>
      </c>
      <c r="C31" s="171">
        <f t="shared" si="0"/>
        <v>7</v>
      </c>
      <c r="D31" s="172" t="s">
        <v>71</v>
      </c>
      <c r="E31" s="173"/>
      <c r="F31" s="174">
        <v>1.0416666666666666E-2</v>
      </c>
      <c r="G31" s="155" t="s">
        <v>97</v>
      </c>
    </row>
    <row r="32" spans="2:8" ht="45" x14ac:dyDescent="0.25">
      <c r="B32" s="170">
        <v>44239</v>
      </c>
      <c r="C32" s="171">
        <f t="shared" si="0"/>
        <v>7</v>
      </c>
      <c r="D32" s="172" t="s">
        <v>53</v>
      </c>
      <c r="E32" s="173" t="s">
        <v>66</v>
      </c>
      <c r="F32" s="174">
        <v>2.0833333333333332E-2</v>
      </c>
      <c r="G32" s="155" t="s">
        <v>96</v>
      </c>
    </row>
    <row r="33" spans="2:7" ht="30" x14ac:dyDescent="0.25">
      <c r="B33" s="170">
        <v>44239</v>
      </c>
      <c r="C33" s="171">
        <f t="shared" si="0"/>
        <v>7</v>
      </c>
      <c r="D33" s="172" t="s">
        <v>52</v>
      </c>
      <c r="E33" s="173" t="s">
        <v>66</v>
      </c>
      <c r="F33" s="174">
        <v>1.0416666666666666E-2</v>
      </c>
      <c r="G33" s="155" t="s">
        <v>98</v>
      </c>
    </row>
    <row r="34" spans="2:7" ht="30" x14ac:dyDescent="0.25">
      <c r="B34" s="170">
        <v>44239</v>
      </c>
      <c r="C34" s="171">
        <f t="shared" si="0"/>
        <v>7</v>
      </c>
      <c r="D34" s="172" t="s">
        <v>53</v>
      </c>
      <c r="E34" s="173" t="s">
        <v>65</v>
      </c>
      <c r="F34" s="174">
        <v>6.9444444444444441E-3</v>
      </c>
      <c r="G34" s="155" t="s">
        <v>99</v>
      </c>
    </row>
    <row r="35" spans="2:7" x14ac:dyDescent="0.25">
      <c r="B35" s="170">
        <v>44239</v>
      </c>
      <c r="C35" s="171">
        <f t="shared" si="0"/>
        <v>7</v>
      </c>
      <c r="D35" s="172" t="s">
        <v>79</v>
      </c>
      <c r="E35" s="173" t="s">
        <v>65</v>
      </c>
      <c r="F35" s="174">
        <v>1.3888888888888888E-2</v>
      </c>
      <c r="G35" s="155" t="s">
        <v>100</v>
      </c>
    </row>
    <row r="36" spans="2:7" ht="120.75" thickBot="1" x14ac:dyDescent="0.3">
      <c r="B36" s="176">
        <v>44239</v>
      </c>
      <c r="C36" s="177">
        <f t="shared" si="0"/>
        <v>7</v>
      </c>
      <c r="D36" s="178" t="s">
        <v>50</v>
      </c>
      <c r="E36" s="179"/>
      <c r="F36" s="180">
        <v>3.125E-2</v>
      </c>
      <c r="G36" s="188" t="s">
        <v>101</v>
      </c>
    </row>
    <row r="37" spans="2:7" x14ac:dyDescent="0.25">
      <c r="B37" s="198"/>
      <c r="C37" s="199">
        <f t="shared" si="0"/>
        <v>0</v>
      </c>
      <c r="D37" s="200"/>
      <c r="E37" s="201"/>
      <c r="F37" s="202"/>
      <c r="G37" s="203"/>
    </row>
    <row r="38" spans="2:7" x14ac:dyDescent="0.25">
      <c r="B38" s="170">
        <v>44242</v>
      </c>
      <c r="C38" s="171">
        <f t="shared" si="0"/>
        <v>8</v>
      </c>
      <c r="D38" s="172" t="s">
        <v>80</v>
      </c>
      <c r="E38" s="173" t="s">
        <v>66</v>
      </c>
      <c r="F38" s="174">
        <v>3.4722222222222224E-2</v>
      </c>
      <c r="G38" s="155" t="s">
        <v>104</v>
      </c>
    </row>
    <row r="39" spans="2:7" x14ac:dyDescent="0.25">
      <c r="B39" s="170">
        <v>44242</v>
      </c>
      <c r="C39" s="171">
        <f t="shared" si="0"/>
        <v>8</v>
      </c>
      <c r="D39" s="172" t="s">
        <v>80</v>
      </c>
      <c r="E39" s="173" t="s">
        <v>65</v>
      </c>
      <c r="F39" s="174">
        <v>3.125E-2</v>
      </c>
      <c r="G39" s="155" t="s">
        <v>105</v>
      </c>
    </row>
    <row r="40" spans="2:7" ht="75" x14ac:dyDescent="0.25">
      <c r="B40" s="170">
        <v>44242</v>
      </c>
      <c r="C40" s="171">
        <f t="shared" si="0"/>
        <v>8</v>
      </c>
      <c r="D40" s="172" t="s">
        <v>51</v>
      </c>
      <c r="E40" s="173" t="s">
        <v>65</v>
      </c>
      <c r="F40" s="174">
        <v>1.7361111111111112E-2</v>
      </c>
      <c r="G40" s="155" t="s">
        <v>106</v>
      </c>
    </row>
    <row r="41" spans="2:7" ht="30" x14ac:dyDescent="0.25">
      <c r="B41" s="170">
        <v>44242</v>
      </c>
      <c r="C41" s="171">
        <f t="shared" si="0"/>
        <v>8</v>
      </c>
      <c r="D41" s="172" t="s">
        <v>38</v>
      </c>
      <c r="E41" s="173" t="s">
        <v>65</v>
      </c>
      <c r="F41" s="174">
        <v>1.7361111111111112E-2</v>
      </c>
      <c r="G41" s="155" t="s">
        <v>107</v>
      </c>
    </row>
    <row r="42" spans="2:7" ht="30" x14ac:dyDescent="0.25">
      <c r="B42" s="170">
        <v>44242</v>
      </c>
      <c r="C42" s="171">
        <f t="shared" si="0"/>
        <v>8</v>
      </c>
      <c r="D42" s="172" t="s">
        <v>52</v>
      </c>
      <c r="E42" s="173" t="s">
        <v>66</v>
      </c>
      <c r="F42" s="174">
        <v>2.0833333333333332E-2</v>
      </c>
      <c r="G42" s="155" t="s">
        <v>122</v>
      </c>
    </row>
    <row r="43" spans="2:7" ht="75" x14ac:dyDescent="0.25">
      <c r="B43" s="170">
        <v>44244</v>
      </c>
      <c r="C43" s="171">
        <f t="shared" si="0"/>
        <v>8</v>
      </c>
      <c r="D43" s="172" t="s">
        <v>52</v>
      </c>
      <c r="E43" s="173" t="s">
        <v>66</v>
      </c>
      <c r="F43" s="174">
        <v>3.4722222222222224E-2</v>
      </c>
      <c r="G43" s="155" t="s">
        <v>108</v>
      </c>
    </row>
    <row r="44" spans="2:7" ht="30" x14ac:dyDescent="0.25">
      <c r="B44" s="170">
        <v>44244</v>
      </c>
      <c r="C44" s="171">
        <f t="shared" si="0"/>
        <v>8</v>
      </c>
      <c r="D44" s="172" t="s">
        <v>53</v>
      </c>
      <c r="E44" s="173"/>
      <c r="F44" s="174">
        <v>3.472222222222222E-3</v>
      </c>
      <c r="G44" s="155" t="s">
        <v>109</v>
      </c>
    </row>
    <row r="45" spans="2:7" x14ac:dyDescent="0.25">
      <c r="B45" s="170">
        <v>44245</v>
      </c>
      <c r="C45" s="171">
        <f t="shared" si="0"/>
        <v>8</v>
      </c>
      <c r="D45" s="172" t="s">
        <v>52</v>
      </c>
      <c r="E45" s="173"/>
      <c r="F45" s="174">
        <v>6.9444444444444441E-3</v>
      </c>
      <c r="G45" s="155" t="s">
        <v>110</v>
      </c>
    </row>
    <row r="46" spans="2:7" x14ac:dyDescent="0.25">
      <c r="B46" s="170">
        <v>44245</v>
      </c>
      <c r="C46" s="171">
        <f t="shared" si="0"/>
        <v>8</v>
      </c>
      <c r="D46" s="172" t="s">
        <v>34</v>
      </c>
      <c r="E46" s="173" t="s">
        <v>66</v>
      </c>
      <c r="F46" s="174">
        <v>2.7777777777777776E-2</v>
      </c>
      <c r="G46" s="155" t="s">
        <v>111</v>
      </c>
    </row>
    <row r="47" spans="2:7" ht="30" x14ac:dyDescent="0.25">
      <c r="B47" s="170">
        <v>44245</v>
      </c>
      <c r="C47" s="171">
        <f t="shared" si="0"/>
        <v>8</v>
      </c>
      <c r="D47" s="172" t="s">
        <v>50</v>
      </c>
      <c r="E47" s="173"/>
      <c r="F47" s="174">
        <v>3.472222222222222E-3</v>
      </c>
      <c r="G47" s="155" t="s">
        <v>112</v>
      </c>
    </row>
    <row r="48" spans="2:7" ht="45" x14ac:dyDescent="0.25">
      <c r="B48" s="170">
        <v>44245</v>
      </c>
      <c r="C48" s="171">
        <f t="shared" si="0"/>
        <v>8</v>
      </c>
      <c r="D48" s="172" t="s">
        <v>34</v>
      </c>
      <c r="E48" s="173" t="s">
        <v>66</v>
      </c>
      <c r="F48" s="174">
        <v>1.7361111111111112E-2</v>
      </c>
      <c r="G48" s="155" t="s">
        <v>113</v>
      </c>
    </row>
    <row r="49" spans="2:7" ht="75" x14ac:dyDescent="0.25">
      <c r="B49" s="170">
        <v>44246</v>
      </c>
      <c r="C49" s="171">
        <f t="shared" si="0"/>
        <v>8</v>
      </c>
      <c r="D49" s="172" t="s">
        <v>71</v>
      </c>
      <c r="E49" s="173"/>
      <c r="F49" s="174">
        <v>1.0416666666666666E-2</v>
      </c>
      <c r="G49" s="155" t="s">
        <v>114</v>
      </c>
    </row>
    <row r="50" spans="2:7" x14ac:dyDescent="0.25">
      <c r="B50" s="170">
        <v>44246</v>
      </c>
      <c r="C50" s="171">
        <f t="shared" si="0"/>
        <v>8</v>
      </c>
      <c r="D50" s="172" t="s">
        <v>50</v>
      </c>
      <c r="E50" s="173"/>
      <c r="F50" s="174">
        <v>3.472222222222222E-3</v>
      </c>
      <c r="G50" s="155" t="s">
        <v>115</v>
      </c>
    </row>
    <row r="51" spans="2:7" x14ac:dyDescent="0.25">
      <c r="B51" s="170">
        <v>44246</v>
      </c>
      <c r="C51" s="171">
        <f t="shared" si="0"/>
        <v>8</v>
      </c>
      <c r="D51" s="172" t="s">
        <v>34</v>
      </c>
      <c r="E51" s="173" t="s">
        <v>66</v>
      </c>
      <c r="F51" s="174">
        <v>2.0833333333333332E-2</v>
      </c>
      <c r="G51" s="155" t="s">
        <v>123</v>
      </c>
    </row>
    <row r="52" spans="2:7" ht="60" x14ac:dyDescent="0.25">
      <c r="B52" s="170">
        <v>44246</v>
      </c>
      <c r="C52" s="171">
        <f t="shared" si="0"/>
        <v>8</v>
      </c>
      <c r="D52" s="172" t="s">
        <v>34</v>
      </c>
      <c r="E52" s="173" t="s">
        <v>66</v>
      </c>
      <c r="F52" s="174">
        <v>4.1666666666666664E-2</v>
      </c>
      <c r="G52" s="155" t="s">
        <v>116</v>
      </c>
    </row>
    <row r="53" spans="2:7" ht="30.75" thickBot="1" x14ac:dyDescent="0.3">
      <c r="B53" s="176">
        <v>44246</v>
      </c>
      <c r="C53" s="177">
        <f t="shared" si="0"/>
        <v>8</v>
      </c>
      <c r="D53" s="178" t="s">
        <v>34</v>
      </c>
      <c r="E53" s="179" t="s">
        <v>66</v>
      </c>
      <c r="F53" s="180">
        <v>4.1666666666666664E-2</v>
      </c>
      <c r="G53" s="188" t="s">
        <v>117</v>
      </c>
    </row>
    <row r="54" spans="2:7" x14ac:dyDescent="0.25">
      <c r="B54" s="204"/>
      <c r="C54" s="205"/>
      <c r="D54" s="206"/>
      <c r="E54" s="207"/>
      <c r="F54" s="208"/>
      <c r="G54" s="209"/>
    </row>
    <row r="55" spans="2:7" x14ac:dyDescent="0.25">
      <c r="B55" s="198"/>
      <c r="C55" s="199"/>
      <c r="D55" s="200"/>
      <c r="E55" s="201"/>
      <c r="F55" s="202"/>
      <c r="G55" s="203"/>
    </row>
    <row r="56" spans="2:7" ht="75" x14ac:dyDescent="0.25">
      <c r="B56" s="170">
        <v>44256</v>
      </c>
      <c r="C56" s="171">
        <f t="shared" si="0"/>
        <v>10</v>
      </c>
      <c r="D56" s="172" t="s">
        <v>34</v>
      </c>
      <c r="E56" s="173" t="s">
        <v>65</v>
      </c>
      <c r="F56" s="174">
        <v>1.3888888888888888E-2</v>
      </c>
      <c r="G56" s="155" t="s">
        <v>124</v>
      </c>
    </row>
    <row r="57" spans="2:7" ht="30" x14ac:dyDescent="0.25">
      <c r="B57" s="170">
        <v>44256</v>
      </c>
      <c r="C57" s="171">
        <f t="shared" si="0"/>
        <v>10</v>
      </c>
      <c r="D57" s="172" t="s">
        <v>37</v>
      </c>
      <c r="E57" s="173" t="s">
        <v>66</v>
      </c>
      <c r="F57" s="174">
        <v>1.0416666666666666E-2</v>
      </c>
      <c r="G57" s="155" t="s">
        <v>125</v>
      </c>
    </row>
    <row r="58" spans="2:7" ht="30" x14ac:dyDescent="0.25">
      <c r="B58" s="170">
        <v>44256</v>
      </c>
      <c r="C58" s="171">
        <f t="shared" si="0"/>
        <v>10</v>
      </c>
      <c r="D58" s="172" t="s">
        <v>28</v>
      </c>
      <c r="E58" s="173" t="s">
        <v>66</v>
      </c>
      <c r="F58" s="174">
        <v>1.3888888888888888E-2</v>
      </c>
      <c r="G58" s="155" t="s">
        <v>126</v>
      </c>
    </row>
    <row r="59" spans="2:7" ht="45" x14ac:dyDescent="0.25">
      <c r="B59" s="170">
        <v>44256</v>
      </c>
      <c r="C59" s="171">
        <f t="shared" si="0"/>
        <v>10</v>
      </c>
      <c r="D59" s="172" t="s">
        <v>28</v>
      </c>
      <c r="E59" s="173" t="s">
        <v>66</v>
      </c>
      <c r="F59" s="174">
        <v>2.7777777777777776E-2</v>
      </c>
      <c r="G59" s="155" t="s">
        <v>127</v>
      </c>
    </row>
    <row r="60" spans="2:7" ht="45" x14ac:dyDescent="0.25">
      <c r="B60" s="170">
        <v>44256</v>
      </c>
      <c r="C60" s="171">
        <f t="shared" si="0"/>
        <v>10</v>
      </c>
      <c r="D60" s="172" t="s">
        <v>52</v>
      </c>
      <c r="E60" s="173" t="s">
        <v>66</v>
      </c>
      <c r="F60" s="174">
        <v>3.8194444444444441E-2</v>
      </c>
      <c r="G60" s="155" t="s">
        <v>128</v>
      </c>
    </row>
    <row r="61" spans="2:7" x14ac:dyDescent="0.25">
      <c r="B61" s="170">
        <v>44256</v>
      </c>
      <c r="C61" s="171">
        <f t="shared" si="0"/>
        <v>10</v>
      </c>
      <c r="D61" s="172" t="s">
        <v>50</v>
      </c>
      <c r="E61" s="173"/>
      <c r="F61" s="174">
        <v>6.9444444444444441E-3</v>
      </c>
      <c r="G61" s="155" t="s">
        <v>129</v>
      </c>
    </row>
    <row r="62" spans="2:7" ht="30" x14ac:dyDescent="0.25">
      <c r="B62" s="170">
        <v>44256</v>
      </c>
      <c r="C62" s="171">
        <f t="shared" si="0"/>
        <v>10</v>
      </c>
      <c r="D62" s="172" t="s">
        <v>39</v>
      </c>
      <c r="E62" s="173"/>
      <c r="F62" s="174">
        <v>1.0416666666666666E-2</v>
      </c>
      <c r="G62" s="155" t="s">
        <v>130</v>
      </c>
    </row>
    <row r="63" spans="2:7" ht="60" x14ac:dyDescent="0.25">
      <c r="B63" s="170">
        <v>44258</v>
      </c>
      <c r="C63" s="171">
        <f t="shared" si="0"/>
        <v>10</v>
      </c>
      <c r="D63" s="172" t="s">
        <v>37</v>
      </c>
      <c r="E63" s="173" t="s">
        <v>66</v>
      </c>
      <c r="F63" s="174">
        <v>1.7361111111111112E-2</v>
      </c>
      <c r="G63" s="155" t="s">
        <v>131</v>
      </c>
    </row>
    <row r="64" spans="2:7" ht="45" x14ac:dyDescent="0.25">
      <c r="B64" s="170">
        <v>44258</v>
      </c>
      <c r="C64" s="171">
        <f t="shared" si="0"/>
        <v>10</v>
      </c>
      <c r="D64" s="172" t="s">
        <v>52</v>
      </c>
      <c r="E64" s="173" t="s">
        <v>66</v>
      </c>
      <c r="F64" s="174">
        <v>1.3888888888888888E-2</v>
      </c>
      <c r="G64" s="155" t="s">
        <v>132</v>
      </c>
    </row>
    <row r="65" spans="2:7" x14ac:dyDescent="0.25">
      <c r="B65" s="170">
        <v>44258</v>
      </c>
      <c r="C65" s="171">
        <f t="shared" si="0"/>
        <v>10</v>
      </c>
      <c r="D65" s="172" t="s">
        <v>52</v>
      </c>
      <c r="E65" s="173" t="s">
        <v>66</v>
      </c>
      <c r="F65" s="174">
        <v>1.0416666666666666E-2</v>
      </c>
      <c r="G65" s="155" t="s">
        <v>133</v>
      </c>
    </row>
    <row r="66" spans="2:7" x14ac:dyDescent="0.25">
      <c r="B66" s="170">
        <v>44258</v>
      </c>
      <c r="C66" s="171">
        <f t="shared" si="0"/>
        <v>10</v>
      </c>
      <c r="D66" s="172" t="s">
        <v>52</v>
      </c>
      <c r="E66" s="173" t="s">
        <v>66</v>
      </c>
      <c r="F66" s="174">
        <v>3.472222222222222E-3</v>
      </c>
      <c r="G66" s="155" t="s">
        <v>134</v>
      </c>
    </row>
    <row r="67" spans="2:7" x14ac:dyDescent="0.25">
      <c r="B67" s="170">
        <v>44258</v>
      </c>
      <c r="C67" s="171">
        <f t="shared" si="0"/>
        <v>10</v>
      </c>
      <c r="D67" s="172" t="s">
        <v>39</v>
      </c>
      <c r="E67" s="173" t="s">
        <v>66</v>
      </c>
      <c r="F67" s="174">
        <v>1.7361111111111112E-2</v>
      </c>
      <c r="G67" s="155" t="s">
        <v>135</v>
      </c>
    </row>
    <row r="68" spans="2:7" ht="60" x14ac:dyDescent="0.25">
      <c r="B68" s="170">
        <v>44259</v>
      </c>
      <c r="C68" s="171">
        <f t="shared" si="0"/>
        <v>10</v>
      </c>
      <c r="D68" s="172" t="s">
        <v>39</v>
      </c>
      <c r="E68" s="173" t="s">
        <v>66</v>
      </c>
      <c r="F68" s="174" t="s">
        <v>136</v>
      </c>
      <c r="G68" s="155" t="s">
        <v>137</v>
      </c>
    </row>
    <row r="69" spans="2:7" ht="60" x14ac:dyDescent="0.25">
      <c r="B69" s="170">
        <v>44259</v>
      </c>
      <c r="C69" s="171">
        <f t="shared" si="0"/>
        <v>10</v>
      </c>
      <c r="D69" s="172" t="s">
        <v>52</v>
      </c>
      <c r="E69" s="173" t="s">
        <v>66</v>
      </c>
      <c r="F69" s="174">
        <v>1.3888888888888888E-2</v>
      </c>
      <c r="G69" s="155" t="s">
        <v>138</v>
      </c>
    </row>
    <row r="70" spans="2:7" ht="30" x14ac:dyDescent="0.25">
      <c r="B70" s="170">
        <v>44259</v>
      </c>
      <c r="C70" s="171">
        <f t="shared" si="0"/>
        <v>10</v>
      </c>
      <c r="D70" s="172" t="s">
        <v>13</v>
      </c>
      <c r="E70" s="173"/>
      <c r="F70" s="174">
        <v>2.4305555555555556E-2</v>
      </c>
      <c r="G70" s="155" t="s">
        <v>139</v>
      </c>
    </row>
    <row r="71" spans="2:7" ht="75" x14ac:dyDescent="0.25">
      <c r="B71" s="170">
        <v>44260</v>
      </c>
      <c r="C71" s="171">
        <f t="shared" si="0"/>
        <v>10</v>
      </c>
      <c r="D71" s="172" t="s">
        <v>39</v>
      </c>
      <c r="E71" s="173" t="s">
        <v>66</v>
      </c>
      <c r="F71" s="174" t="s">
        <v>140</v>
      </c>
      <c r="G71" s="155" t="s">
        <v>141</v>
      </c>
    </row>
    <row r="72" spans="2:7" ht="30" x14ac:dyDescent="0.25">
      <c r="B72" s="170">
        <v>44260</v>
      </c>
      <c r="C72" s="171">
        <f t="shared" si="0"/>
        <v>10</v>
      </c>
      <c r="D72" s="172" t="s">
        <v>52</v>
      </c>
      <c r="E72" s="173" t="s">
        <v>66</v>
      </c>
      <c r="F72" s="174">
        <v>2.4305555555555556E-2</v>
      </c>
      <c r="G72" s="155" t="s">
        <v>142</v>
      </c>
    </row>
    <row r="73" spans="2:7" x14ac:dyDescent="0.25">
      <c r="B73" s="170"/>
      <c r="C73" s="171">
        <f t="shared" si="0"/>
        <v>0</v>
      </c>
      <c r="D73" s="172"/>
      <c r="E73" s="173"/>
      <c r="F73" s="174"/>
      <c r="G73" s="155"/>
    </row>
    <row r="74" spans="2:7" x14ac:dyDescent="0.25">
      <c r="B74" s="170"/>
      <c r="C74" s="171">
        <f t="shared" si="0"/>
        <v>0</v>
      </c>
      <c r="D74" s="172"/>
      <c r="E74" s="173"/>
      <c r="F74" s="174"/>
      <c r="G74" s="155"/>
    </row>
    <row r="75" spans="2:7" x14ac:dyDescent="0.25">
      <c r="B75" s="170"/>
      <c r="C75" s="171">
        <f t="shared" si="0"/>
        <v>0</v>
      </c>
      <c r="D75" s="172"/>
      <c r="E75" s="173"/>
      <c r="F75" s="174"/>
      <c r="G75" s="155"/>
    </row>
    <row r="76" spans="2:7" x14ac:dyDescent="0.25">
      <c r="B76" s="170"/>
      <c r="C76" s="171">
        <f t="shared" si="0"/>
        <v>0</v>
      </c>
      <c r="D76" s="172"/>
      <c r="E76" s="173"/>
      <c r="F76" s="174"/>
      <c r="G76" s="155"/>
    </row>
    <row r="77" spans="2:7" x14ac:dyDescent="0.25">
      <c r="B77" s="170"/>
      <c r="C77" s="171">
        <f t="shared" si="0"/>
        <v>0</v>
      </c>
      <c r="D77" s="172"/>
      <c r="E77" s="173"/>
      <c r="F77" s="174"/>
      <c r="G77" s="155"/>
    </row>
    <row r="78" spans="2:7" x14ac:dyDescent="0.25">
      <c r="B78" s="170"/>
      <c r="C78" s="171">
        <f t="shared" si="0"/>
        <v>0</v>
      </c>
      <c r="D78" s="172"/>
      <c r="E78" s="173"/>
      <c r="F78" s="174"/>
      <c r="G78" s="155"/>
    </row>
    <row r="79" spans="2:7" x14ac:dyDescent="0.25">
      <c r="B79" s="170"/>
      <c r="C79" s="171">
        <f t="shared" si="0"/>
        <v>0</v>
      </c>
      <c r="D79" s="172"/>
      <c r="E79" s="173"/>
      <c r="F79" s="174"/>
      <c r="G79" s="155"/>
    </row>
    <row r="80" spans="2:7" x14ac:dyDescent="0.25">
      <c r="B80" s="170"/>
      <c r="C80" s="171">
        <f t="shared" si="0"/>
        <v>0</v>
      </c>
      <c r="D80" s="172"/>
      <c r="E80" s="173"/>
      <c r="F80" s="174"/>
      <c r="G80" s="155"/>
    </row>
    <row r="81" spans="2:7" x14ac:dyDescent="0.25">
      <c r="B81" s="170"/>
      <c r="C81" s="171">
        <f t="shared" si="0"/>
        <v>0</v>
      </c>
      <c r="D81" s="172"/>
      <c r="E81" s="173"/>
      <c r="F81" s="174"/>
      <c r="G81" s="155"/>
    </row>
    <row r="82" spans="2:7" x14ac:dyDescent="0.25">
      <c r="B82" s="170"/>
      <c r="C82" s="171">
        <f t="shared" si="0"/>
        <v>0</v>
      </c>
      <c r="D82" s="172"/>
      <c r="E82" s="173"/>
      <c r="F82" s="174"/>
      <c r="G82" s="155"/>
    </row>
    <row r="83" spans="2:7" x14ac:dyDescent="0.25">
      <c r="B83" s="170"/>
      <c r="C83" s="171">
        <f t="shared" si="0"/>
        <v>0</v>
      </c>
      <c r="D83" s="172"/>
      <c r="E83" s="173"/>
      <c r="F83" s="174"/>
      <c r="G83" s="155"/>
    </row>
    <row r="84" spans="2:7" x14ac:dyDescent="0.25">
      <c r="B84" s="170"/>
      <c r="C84" s="171">
        <f t="shared" si="0"/>
        <v>0</v>
      </c>
      <c r="D84" s="172"/>
      <c r="E84" s="173"/>
      <c r="F84" s="174"/>
      <c r="G84" s="155"/>
    </row>
    <row r="85" spans="2:7" x14ac:dyDescent="0.25">
      <c r="B85" s="170"/>
      <c r="C85" s="171">
        <f t="shared" si="0"/>
        <v>0</v>
      </c>
      <c r="D85" s="172"/>
      <c r="E85" s="173"/>
      <c r="F85" s="174"/>
      <c r="G85" s="155"/>
    </row>
    <row r="86" spans="2:7" x14ac:dyDescent="0.25">
      <c r="B86" s="170"/>
      <c r="C86" s="171">
        <f t="shared" si="0"/>
        <v>0</v>
      </c>
      <c r="D86" s="172"/>
      <c r="E86" s="173"/>
      <c r="F86" s="174"/>
      <c r="G86" s="155"/>
    </row>
    <row r="87" spans="2:7" x14ac:dyDescent="0.25">
      <c r="B87" s="170"/>
      <c r="C87" s="171">
        <f t="shared" si="0"/>
        <v>0</v>
      </c>
      <c r="D87" s="172"/>
      <c r="E87" s="173"/>
      <c r="F87" s="174"/>
      <c r="G87" s="155"/>
    </row>
    <row r="88" spans="2:7" x14ac:dyDescent="0.25">
      <c r="B88" s="170"/>
      <c r="C88" s="171">
        <f t="shared" si="0"/>
        <v>0</v>
      </c>
      <c r="D88" s="172"/>
      <c r="E88" s="173"/>
      <c r="F88" s="174"/>
      <c r="G88" s="155"/>
    </row>
    <row r="89" spans="2:7" x14ac:dyDescent="0.25">
      <c r="B89" s="170"/>
      <c r="C89" s="171">
        <f t="shared" si="0"/>
        <v>0</v>
      </c>
      <c r="D89" s="172"/>
      <c r="E89" s="173"/>
      <c r="F89" s="174"/>
      <c r="G89" s="155"/>
    </row>
    <row r="90" spans="2:7" x14ac:dyDescent="0.25">
      <c r="B90" s="170"/>
      <c r="C90" s="171">
        <f t="shared" si="0"/>
        <v>0</v>
      </c>
      <c r="D90" s="172"/>
      <c r="E90" s="173"/>
      <c r="F90" s="174"/>
      <c r="G90" s="155"/>
    </row>
    <row r="91" spans="2:7" x14ac:dyDescent="0.25">
      <c r="B91" s="170"/>
      <c r="C91" s="171">
        <f t="shared" si="0"/>
        <v>0</v>
      </c>
      <c r="D91" s="172"/>
      <c r="E91" s="173"/>
      <c r="F91" s="174"/>
      <c r="G91" s="155"/>
    </row>
    <row r="92" spans="2:7" x14ac:dyDescent="0.25">
      <c r="B92" s="170"/>
      <c r="C92" s="171">
        <f t="shared" si="0"/>
        <v>0</v>
      </c>
      <c r="D92" s="172"/>
      <c r="E92" s="173"/>
      <c r="F92" s="174"/>
      <c r="G92" s="155"/>
    </row>
    <row r="93" spans="2:7" x14ac:dyDescent="0.25">
      <c r="B93" s="170"/>
      <c r="C93" s="171">
        <f t="shared" si="0"/>
        <v>0</v>
      </c>
      <c r="D93" s="172"/>
      <c r="E93" s="173"/>
      <c r="F93" s="174"/>
      <c r="G93" s="155"/>
    </row>
    <row r="94" spans="2:7" x14ac:dyDescent="0.25">
      <c r="B94" s="170"/>
      <c r="C94" s="171">
        <f t="shared" si="0"/>
        <v>0</v>
      </c>
      <c r="D94" s="172"/>
      <c r="E94" s="173"/>
      <c r="F94" s="174"/>
      <c r="G94" s="155"/>
    </row>
    <row r="95" spans="2:7" x14ac:dyDescent="0.25">
      <c r="B95" s="170"/>
      <c r="C95" s="171">
        <f t="shared" si="0"/>
        <v>0</v>
      </c>
      <c r="D95" s="172"/>
      <c r="E95" s="173"/>
      <c r="F95" s="174"/>
      <c r="G95" s="155"/>
    </row>
    <row r="96" spans="2:7" x14ac:dyDescent="0.25">
      <c r="B96" s="170"/>
      <c r="C96" s="171">
        <f t="shared" si="0"/>
        <v>0</v>
      </c>
      <c r="D96" s="172"/>
      <c r="E96" s="173"/>
      <c r="F96" s="174"/>
      <c r="G96" s="155"/>
    </row>
    <row r="97" spans="2:7" x14ac:dyDescent="0.25">
      <c r="B97" s="170"/>
      <c r="C97" s="171">
        <f t="shared" si="0"/>
        <v>0</v>
      </c>
      <c r="D97" s="172"/>
      <c r="E97" s="173"/>
      <c r="F97" s="174"/>
      <c r="G97" s="155"/>
    </row>
    <row r="98" spans="2:7" x14ac:dyDescent="0.25">
      <c r="B98" s="170"/>
      <c r="C98" s="171">
        <f t="shared" si="0"/>
        <v>0</v>
      </c>
      <c r="D98" s="172"/>
      <c r="E98" s="173"/>
      <c r="F98" s="174"/>
      <c r="G98" s="155"/>
    </row>
    <row r="99" spans="2:7" x14ac:dyDescent="0.25">
      <c r="B99" s="170"/>
      <c r="C99" s="171">
        <f t="shared" si="0"/>
        <v>0</v>
      </c>
      <c r="D99" s="172"/>
      <c r="E99" s="173"/>
      <c r="F99" s="174"/>
      <c r="G99" s="155"/>
    </row>
    <row r="100" spans="2:7" x14ac:dyDescent="0.25">
      <c r="B100" s="170"/>
      <c r="C100" s="171">
        <f t="shared" si="0"/>
        <v>0</v>
      </c>
      <c r="D100" s="172"/>
      <c r="E100" s="173"/>
      <c r="F100" s="174"/>
      <c r="G100" s="155"/>
    </row>
    <row r="101" spans="2:7" x14ac:dyDescent="0.25">
      <c r="B101" s="170"/>
      <c r="C101" s="171">
        <f t="shared" si="0"/>
        <v>0</v>
      </c>
      <c r="D101" s="172"/>
      <c r="E101" s="173"/>
      <c r="F101" s="174"/>
      <c r="G101" s="155"/>
    </row>
    <row r="102" spans="2:7" x14ac:dyDescent="0.25">
      <c r="B102" s="170"/>
      <c r="C102" s="171">
        <f t="shared" si="0"/>
        <v>0</v>
      </c>
      <c r="D102" s="172"/>
      <c r="E102" s="173"/>
      <c r="F102" s="174"/>
      <c r="G102" s="155"/>
    </row>
    <row r="103" spans="2:7" x14ac:dyDescent="0.25">
      <c r="B103" s="170"/>
      <c r="C103" s="171">
        <f t="shared" si="0"/>
        <v>0</v>
      </c>
      <c r="D103" s="172"/>
      <c r="E103" s="173"/>
      <c r="F103" s="174"/>
      <c r="G103" s="155"/>
    </row>
    <row r="104" spans="2:7" x14ac:dyDescent="0.25">
      <c r="B104" s="170"/>
      <c r="C104" s="171">
        <f t="shared" si="0"/>
        <v>0</v>
      </c>
      <c r="D104" s="172"/>
      <c r="E104" s="173"/>
      <c r="F104" s="174"/>
      <c r="G104" s="155"/>
    </row>
    <row r="105" spans="2:7" x14ac:dyDescent="0.25">
      <c r="B105" s="170"/>
      <c r="C105" s="171">
        <f t="shared" si="0"/>
        <v>0</v>
      </c>
      <c r="D105" s="172"/>
      <c r="E105" s="173"/>
      <c r="F105" s="174"/>
      <c r="G105" s="155"/>
    </row>
    <row r="106" spans="2:7" x14ac:dyDescent="0.25">
      <c r="B106" s="170"/>
      <c r="C106" s="171">
        <f t="shared" si="0"/>
        <v>0</v>
      </c>
      <c r="D106" s="172"/>
      <c r="E106" s="173"/>
      <c r="F106" s="174"/>
      <c r="G106" s="155"/>
    </row>
    <row r="107" spans="2:7" x14ac:dyDescent="0.25">
      <c r="B107" s="170"/>
      <c r="C107" s="171">
        <f t="shared" si="0"/>
        <v>0</v>
      </c>
      <c r="D107" s="172"/>
      <c r="E107" s="173"/>
      <c r="F107" s="174"/>
      <c r="G107" s="155"/>
    </row>
    <row r="108" spans="2:7" x14ac:dyDescent="0.25">
      <c r="B108" s="170"/>
      <c r="C108" s="171">
        <f t="shared" si="0"/>
        <v>0</v>
      </c>
      <c r="D108" s="172"/>
      <c r="E108" s="173"/>
      <c r="F108" s="174"/>
      <c r="G108" s="155"/>
    </row>
    <row r="109" spans="2:7" x14ac:dyDescent="0.25">
      <c r="B109" s="170"/>
      <c r="C109" s="171">
        <f t="shared" si="0"/>
        <v>0</v>
      </c>
      <c r="D109" s="172"/>
      <c r="E109" s="173"/>
      <c r="F109" s="174"/>
      <c r="G109" s="155"/>
    </row>
    <row r="110" spans="2:7" x14ac:dyDescent="0.25">
      <c r="B110" s="170"/>
      <c r="C110" s="171">
        <f t="shared" si="0"/>
        <v>0</v>
      </c>
      <c r="D110" s="172"/>
      <c r="E110" s="173"/>
      <c r="F110" s="174"/>
      <c r="G110" s="155"/>
    </row>
    <row r="111" spans="2:7" x14ac:dyDescent="0.25">
      <c r="B111" s="170"/>
      <c r="C111" s="171">
        <f t="shared" si="0"/>
        <v>0</v>
      </c>
      <c r="D111" s="172"/>
      <c r="E111" s="173"/>
      <c r="F111" s="174"/>
      <c r="G111" s="155"/>
    </row>
    <row r="112" spans="2:7" x14ac:dyDescent="0.25">
      <c r="B112" s="170"/>
      <c r="C112" s="171">
        <f t="shared" si="0"/>
        <v>0</v>
      </c>
      <c r="D112" s="172"/>
      <c r="E112" s="173"/>
      <c r="F112" s="174"/>
      <c r="G112" s="155"/>
    </row>
    <row r="113" spans="2:7" x14ac:dyDescent="0.25">
      <c r="B113" s="170"/>
      <c r="C113" s="171">
        <f t="shared" si="0"/>
        <v>0</v>
      </c>
      <c r="D113" s="172"/>
      <c r="E113" s="173"/>
      <c r="F113" s="174"/>
      <c r="G113" s="155"/>
    </row>
    <row r="114" spans="2:7" x14ac:dyDescent="0.25">
      <c r="B114" s="170"/>
      <c r="C114" s="171">
        <f t="shared" si="0"/>
        <v>0</v>
      </c>
      <c r="D114" s="172"/>
      <c r="E114" s="173"/>
      <c r="F114" s="174"/>
      <c r="G114" s="155"/>
    </row>
    <row r="115" spans="2:7" x14ac:dyDescent="0.25">
      <c r="B115" s="170"/>
      <c r="C115" s="171">
        <f t="shared" si="0"/>
        <v>0</v>
      </c>
      <c r="D115" s="172"/>
      <c r="E115" s="173"/>
      <c r="F115" s="174"/>
      <c r="G115" s="155"/>
    </row>
    <row r="116" spans="2:7" x14ac:dyDescent="0.25">
      <c r="B116" s="170"/>
      <c r="C116" s="171">
        <f t="shared" si="0"/>
        <v>0</v>
      </c>
      <c r="D116" s="172"/>
      <c r="E116" s="173"/>
      <c r="F116" s="174"/>
      <c r="G116" s="155"/>
    </row>
    <row r="117" spans="2:7" x14ac:dyDescent="0.25">
      <c r="B117" s="170"/>
      <c r="C117" s="171">
        <f t="shared" si="0"/>
        <v>0</v>
      </c>
      <c r="D117" s="172"/>
      <c r="E117" s="173"/>
      <c r="F117" s="174"/>
      <c r="G117" s="155"/>
    </row>
    <row r="118" spans="2:7" ht="15.75" thickBot="1" x14ac:dyDescent="0.3">
      <c r="B118" s="176"/>
      <c r="C118" s="177">
        <f t="shared" si="0"/>
        <v>0</v>
      </c>
      <c r="D118" s="178"/>
      <c r="E118" s="179"/>
      <c r="F118" s="180"/>
      <c r="G118" s="188"/>
    </row>
    <row r="119" spans="2:7" x14ac:dyDescent="0.25">
      <c r="F119" s="181"/>
    </row>
    <row r="121" spans="2:7" ht="15.75" thickBot="1" x14ac:dyDescent="0.3">
      <c r="B121" s="160" t="s">
        <v>84</v>
      </c>
      <c r="F121" s="181"/>
    </row>
    <row r="122" spans="2:7" x14ac:dyDescent="0.25">
      <c r="B122" s="182" t="s">
        <v>82</v>
      </c>
      <c r="C122" s="183">
        <v>10</v>
      </c>
    </row>
    <row r="123" spans="2:7" ht="15.75" thickBot="1" x14ac:dyDescent="0.3">
      <c r="B123" s="184" t="s">
        <v>83</v>
      </c>
      <c r="C123" s="185">
        <f>SUMIF(C4:C118,C122,F4:F118)</f>
        <v>0.24652777777777776</v>
      </c>
    </row>
  </sheetData>
  <mergeCells count="1">
    <mergeCell ref="B2:G2"/>
  </mergeCells>
  <conditionalFormatting sqref="E1 E3:E18 E20:E1048576">
    <cfRule type="containsText" dxfId="3" priority="3" operator="containsText" text="En cours">
      <formula>NOT(ISERROR(SEARCH("En cours",E1)))</formula>
    </cfRule>
    <cfRule type="containsText" dxfId="2" priority="4" operator="containsText" text="Terminé">
      <formula>NOT(ISERROR(SEARCH("Terminé",E1)))</formula>
    </cfRule>
  </conditionalFormatting>
  <conditionalFormatting sqref="E19">
    <cfRule type="containsText" dxfId="1" priority="1" operator="containsText" text="En cours">
      <formula>NOT(ISERROR(SEARCH("En cours",E19)))</formula>
    </cfRule>
    <cfRule type="containsText" dxfId="0" priority="2" operator="containsText" text="Terminé">
      <formula>NOT(ISERROR(SEARCH("Terminé",E19)))</formula>
    </cfRule>
  </conditionalFormatting>
  <pageMargins left="0.70866141732283472" right="0.70866141732283472" top="0.74803149606299213" bottom="0.74803149606299213" header="0.31496062992125984" footer="0.31496062992125984"/>
  <pageSetup paperSize="9" scale="94"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D4:D118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2021-02-19T19:38:21Z</cp:lastPrinted>
  <dcterms:created xsi:type="dcterms:W3CDTF">2015-01-22T08:10:30Z</dcterms:created>
  <dcterms:modified xsi:type="dcterms:W3CDTF">2021-03-05T11:05:03Z</dcterms:modified>
</cp:coreProperties>
</file>