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80"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<sst xmlns="http://schemas.openxmlformats.org/spreadsheetml/2006/main" count="279" uniqueCount="151">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</sst>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1.4027777777777777</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0.1423611111111111</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0.33333333333333331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5.5555555555555552E-2</v>
      </c>
      <c r="M48" s="21"/>
      <c r="N48" s="21">
        <f>SUMIFS(Journal!$F$5:$F$9353,Journal!$C$5:$C$9353,N$8,Journal!$D$5:$D$9353,$B47)</f>
        <v>6.9444444444444448E-2</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0.125</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4.1666666666666664E-2</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f t="shared" si="3"/>
        <v>4.1666666666666664E-2</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0.25694444444444442</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1.7361111111111112E-2</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0.1875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1.3888888888888888E-2</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showGridLines="0" tabSelected="1" zoomScaleNormal="100" workbookViewId="0">
      <pane ySplit="3" topLeftCell="A74" activePane="bottomLeft" state="frozen"/>
      <selection pane="bottomLeft" activeCell="G80" sqref="G80"/>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105" x14ac:dyDescent="0.25">
      <c r="B73" s="170">
        <v>44260</v>
      </c>
      <c r="C73" s="171">
        <f t="shared" si="0"/>
        <v>10</v>
      </c>
      <c r="D73" s="172" t="s">
        <v>71</v>
      </c>
      <c r="E73" s="173"/>
      <c r="F73" s="174">
        <v>2.7777777777777776E-2</v>
      </c>
      <c r="G73" s="155" t="s">
        <v>143</v>
      </c>
    </row>
    <row r="74" spans="2:7" ht="30" x14ac:dyDescent="0.25">
      <c r="B74" s="170">
        <v>44260</v>
      </c>
      <c r="C74" s="171">
        <f t="shared" si="0"/>
        <v>10</v>
      </c>
      <c r="D74" s="172" t="s">
        <v>39</v>
      </c>
      <c r="E74" s="173" t="s">
        <v>66</v>
      </c>
      <c r="F74" s="174">
        <v>2.7777777777777776E-2</v>
      </c>
      <c r="G74" s="155" t="s">
        <v>144</v>
      </c>
    </row>
    <row r="75" spans="2:7" ht="30" x14ac:dyDescent="0.25">
      <c r="B75" s="170">
        <v>44260</v>
      </c>
      <c r="C75" s="171">
        <f t="shared" si="0"/>
        <v>10</v>
      </c>
      <c r="D75" s="172" t="s">
        <v>50</v>
      </c>
      <c r="E75" s="173"/>
      <c r="F75" s="174">
        <v>1.0416666666666666E-2</v>
      </c>
      <c r="G75" s="155" t="s">
        <v>145</v>
      </c>
    </row>
    <row r="76" spans="2:7" ht="75" x14ac:dyDescent="0.25">
      <c r="B76" s="170">
        <v>44263</v>
      </c>
      <c r="C76" s="171">
        <f t="shared" si="0"/>
        <v>11</v>
      </c>
      <c r="D76" s="172" t="s">
        <v>39</v>
      </c>
      <c r="E76" s="173" t="s">
        <v>66</v>
      </c>
      <c r="F76" s="174">
        <v>4.8611111111111112E-2</v>
      </c>
      <c r="G76" s="155" t="s">
        <v>146</v>
      </c>
    </row>
    <row r="77" spans="2:7" ht="75" x14ac:dyDescent="0.25">
      <c r="B77" s="170">
        <v>44263</v>
      </c>
      <c r="C77" s="171">
        <f t="shared" si="0"/>
        <v>11</v>
      </c>
      <c r="D77" s="172" t="s">
        <v>71</v>
      </c>
      <c r="E77" s="173"/>
      <c r="F77" s="174">
        <v>1.3888888888888888E-2</v>
      </c>
      <c r="G77" s="155" t="s">
        <v>147</v>
      </c>
    </row>
    <row r="78" spans="2:7" ht="60" x14ac:dyDescent="0.25">
      <c r="B78" s="170">
        <v>44263</v>
      </c>
      <c r="C78" s="171">
        <f t="shared" si="0"/>
        <v>11</v>
      </c>
      <c r="D78" s="172" t="s">
        <v>39</v>
      </c>
      <c r="E78" s="173" t="s">
        <v>66</v>
      </c>
      <c r="F78" s="174">
        <v>2.0833333333333332E-2</v>
      </c>
      <c r="G78" s="155" t="s">
        <v>148</v>
      </c>
    </row>
    <row r="79" spans="2:7" ht="60" x14ac:dyDescent="0.25">
      <c r="B79" s="170">
        <v>44263</v>
      </c>
      <c r="C79" s="171">
        <f t="shared" si="0"/>
        <v>11</v>
      </c>
      <c r="D79" s="172" t="s">
        <v>40</v>
      </c>
      <c r="E79" s="173" t="s">
        <v>66</v>
      </c>
      <c r="F79" s="174">
        <v>4.1666666666666664E-2</v>
      </c>
      <c r="G79" s="155" t="s">
        <v>150</v>
      </c>
    </row>
    <row r="80" spans="2:7" ht="30" x14ac:dyDescent="0.25">
      <c r="B80" s="170">
        <v>44263</v>
      </c>
      <c r="C80" s="171">
        <f t="shared" ref="C80" si="2">WEEKNUM(B80,1)</f>
        <v>11</v>
      </c>
      <c r="D80" s="172" t="s">
        <v>50</v>
      </c>
      <c r="E80" s="173"/>
      <c r="F80" s="174">
        <v>1.7361111111111112E-2</v>
      </c>
      <c r="G80" s="155" t="s">
        <v>149</v>
      </c>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11</v>
      </c>
      <c r="D122" s="181"/>
    </row>
    <row r="123" spans="2:7" ht="15.75" thickBot="1" x14ac:dyDescent="0.3">
      <c r="B123" s="184" t="s">
        <v>83</v>
      </c>
      <c r="C123" s="185">
        <f>SUMIF(C4:C118,C122,F4:F118)</f>
        <v>0.1423611111111111</v>
      </c>
    </row>
  </sheetData>
  <mergeCells count="1">
    <mergeCell ref="B2:G2"/>
  </mergeCells>
  <conditionalFormatting sqref="E1 E3:E18 E20:E79 E81: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0">
    <cfRule type="containsText" dxfId="1" priority="1" operator="containsText" text="En cours">
      <formula>NOT(ISERROR(SEARCH("En cours",E80)))</formula>
    </cfRule>
    <cfRule type="containsText" dxfId="0" priority="2" operator="containsText" text="Terminé">
      <formula>NOT(ISERROR(SEARCH("Terminé",E80)))</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2021-03-08T15:56:59Z</dcterms:modified>
</cp:coreProperties>
</file>