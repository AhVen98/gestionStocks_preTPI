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"/>
    </mc:Choice>
  </mc:AlternateContent>
  <bookViews>
    <workbookView xWindow="1200" yWindow="30" windowWidth="24960" windowHeight="12750" activeTab="3"/>
  </bookViews>
  <sheets>
    <sheet name="Base" sheetId="7" r:id="rId1"/>
    <sheet name="Planning" sheetId="1" r:id="rId2"/>
    <sheet name="Diagramme planif" sheetId="8" r:id="rId3"/>
    <sheet name="Journal" sheetId="6" r:id="rId4"/>
  </sheets>
  <definedNames>
    <definedName name="_xlnm.Print_Area" localSheetId="1">Planning!$A$1:$U$101</definedName>
  </definedNames>
  <calcPr calcId="162913"/>
</workbook>
</file>

<file path=xl/calcChain.xml><?xml version="1.0" encoding="utf-8"?>
<calcChain xmlns="http://schemas.openxmlformats.org/spreadsheetml/2006/main">
  <c r="BG4" i="8" l="1"/>
  <c r="E3" i="8"/>
  <c r="F3" i="8"/>
  <c r="G3" i="8"/>
  <c r="H3" i="8"/>
  <c r="I3" i="8" s="1"/>
  <c r="J3" i="8" s="1"/>
  <c r="D3" i="8"/>
  <c r="C3" i="8"/>
  <c r="B41" i="8"/>
  <c r="B33" i="8"/>
  <c r="B21" i="8"/>
  <c r="B13" i="8"/>
  <c r="B5" i="8"/>
  <c r="C4" i="8"/>
  <c r="J4" i="8" l="1"/>
  <c r="K3" i="8"/>
  <c r="L3" i="8" s="1"/>
  <c r="M3" i="8" s="1"/>
  <c r="N3" i="8" s="1"/>
  <c r="O3" i="8" s="1"/>
  <c r="P3" i="8" s="1"/>
  <c r="Q3" i="8" s="1"/>
  <c r="B9" i="8"/>
  <c r="B10" i="8"/>
  <c r="B11" i="8"/>
  <c r="B12" i="8"/>
  <c r="B15" i="8"/>
  <c r="B16" i="8"/>
  <c r="B17" i="8"/>
  <c r="B18" i="8"/>
  <c r="B19" i="8"/>
  <c r="B20" i="8"/>
  <c r="B23" i="8"/>
  <c r="B24" i="8"/>
  <c r="B25" i="8"/>
  <c r="B26" i="8"/>
  <c r="B27" i="8"/>
  <c r="B28" i="8"/>
  <c r="B29" i="8"/>
  <c r="B30" i="8"/>
  <c r="B31" i="8"/>
  <c r="B32" i="8"/>
  <c r="B35" i="8"/>
  <c r="B36" i="8"/>
  <c r="B37" i="8"/>
  <c r="B38" i="8"/>
  <c r="B39" i="8"/>
  <c r="B40" i="8"/>
  <c r="B43" i="8"/>
  <c r="B44" i="8"/>
  <c r="B45" i="8"/>
  <c r="B46" i="8"/>
  <c r="B47" i="8"/>
  <c r="B48" i="8"/>
  <c r="B8" i="8"/>
  <c r="B7" i="8"/>
  <c r="Q4" i="8" l="1"/>
  <c r="R3" i="8"/>
  <c r="S3" i="8" s="1"/>
  <c r="T3" i="8" s="1"/>
  <c r="U3" i="8" s="1"/>
  <c r="V3" i="8" s="1"/>
  <c r="W3" i="8" s="1"/>
  <c r="X3" i="8" s="1"/>
  <c r="B99" i="1"/>
  <c r="B97" i="1"/>
  <c r="B95" i="1"/>
  <c r="B93" i="1"/>
  <c r="B91" i="1"/>
  <c r="B89" i="1"/>
  <c r="B85" i="1"/>
  <c r="B83" i="1"/>
  <c r="B81" i="1"/>
  <c r="B79" i="1"/>
  <c r="B77" i="1"/>
  <c r="B75" i="1"/>
  <c r="Y3" i="8" l="1"/>
  <c r="Z3" i="8" s="1"/>
  <c r="AA3" i="8" s="1"/>
  <c r="AB3" i="8" s="1"/>
  <c r="AC3" i="8" s="1"/>
  <c r="AD3" i="8" s="1"/>
  <c r="AE3" i="8" s="1"/>
  <c r="X4" i="8"/>
  <c r="B71" i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AF3" i="8" l="1"/>
  <c r="AG3" i="8" s="1"/>
  <c r="AH3" i="8" s="1"/>
  <c r="AI3" i="8" s="1"/>
  <c r="AJ3" i="8" s="1"/>
  <c r="AK3" i="8" s="1"/>
  <c r="AL3" i="8" s="1"/>
  <c r="AE4" i="8"/>
  <c r="U53" i="1"/>
  <c r="B57" i="1"/>
  <c r="B55" i="1"/>
  <c r="C56" i="1"/>
  <c r="U55" i="1"/>
  <c r="C55" i="1"/>
  <c r="B53" i="1"/>
  <c r="C54" i="1"/>
  <c r="C53" i="1"/>
  <c r="B51" i="1"/>
  <c r="C52" i="1"/>
  <c r="U51" i="1"/>
  <c r="C51" i="1"/>
  <c r="AM3" i="8" l="1"/>
  <c r="AN3" i="8" s="1"/>
  <c r="AO3" i="8" s="1"/>
  <c r="AP3" i="8" s="1"/>
  <c r="AQ3" i="8" s="1"/>
  <c r="AR3" i="8" s="1"/>
  <c r="AS3" i="8" s="1"/>
  <c r="AL4" i="8"/>
  <c r="B3" i="1"/>
  <c r="C12" i="1"/>
  <c r="E8" i="1"/>
  <c r="G8" i="1"/>
  <c r="I8" i="1"/>
  <c r="K8" i="1"/>
  <c r="M8" i="1"/>
  <c r="O8" i="1"/>
  <c r="Q8" i="1"/>
  <c r="S8" i="1"/>
  <c r="C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U23" i="1" s="1"/>
  <c r="A23" i="1"/>
  <c r="B13" i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AT3" i="8" l="1"/>
  <c r="AU3" i="8" s="1"/>
  <c r="AV3" i="8" s="1"/>
  <c r="AW3" i="8" s="1"/>
  <c r="AX3" i="8" s="1"/>
  <c r="AY3" i="8" s="1"/>
  <c r="AZ3" i="8" s="1"/>
  <c r="AS4" i="8"/>
  <c r="B15" i="1"/>
  <c r="BA3" i="8" l="1"/>
  <c r="BB3" i="8" s="1"/>
  <c r="BC3" i="8" s="1"/>
  <c r="BD3" i="8" s="1"/>
  <c r="BE3" i="8" s="1"/>
  <c r="BF3" i="8" s="1"/>
  <c r="BG3" i="8" s="1"/>
  <c r="AZ4" i="8"/>
  <c r="B5" i="6"/>
  <c r="E1" i="6" l="1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B9" i="6" l="1"/>
  <c r="B8" i="6"/>
  <c r="B6" i="6"/>
  <c r="B4" i="6"/>
  <c r="D8" i="1"/>
  <c r="F4" i="1"/>
  <c r="F8" i="1" s="1"/>
  <c r="C96" i="1" l="1"/>
  <c r="C70" i="1"/>
  <c r="C82" i="1"/>
  <c r="C58" i="1"/>
  <c r="C20" i="1"/>
  <c r="C22" i="1"/>
  <c r="C92" i="1"/>
  <c r="C100" i="1"/>
  <c r="C94" i="1"/>
  <c r="C90" i="1"/>
  <c r="C98" i="1"/>
  <c r="H4" i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8" i="1" l="1"/>
  <c r="J4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B5" i="1" l="1"/>
  <c r="L4" i="1"/>
  <c r="L8" i="1" s="1"/>
  <c r="N4" i="1" l="1"/>
  <c r="N8" i="1" s="1"/>
  <c r="P4" i="1" l="1"/>
  <c r="P8" i="1" s="1"/>
  <c r="R4" i="1" l="1"/>
  <c r="R8" i="1" s="1"/>
  <c r="T4" i="1" l="1"/>
  <c r="T8" i="1" s="1"/>
  <c r="T26" i="1" l="1"/>
  <c r="T30" i="1"/>
  <c r="B7" i="6"/>
  <c r="T34" i="1" s="1"/>
  <c r="T36" i="1" l="1"/>
  <c r="T32" i="1"/>
  <c r="F40" i="1"/>
  <c r="I52" i="1"/>
  <c r="E54" i="1"/>
  <c r="O54" i="1"/>
  <c r="E56" i="1"/>
  <c r="O50" i="1"/>
  <c r="S58" i="1"/>
  <c r="K54" i="1"/>
  <c r="I90" i="1"/>
  <c r="S92" i="1"/>
  <c r="D86" i="1"/>
  <c r="F52" i="1"/>
  <c r="O26" i="1"/>
  <c r="Q26" i="1"/>
  <c r="G36" i="1"/>
  <c r="M30" i="1"/>
  <c r="E28" i="1"/>
  <c r="O30" i="1"/>
  <c r="G32" i="1"/>
  <c r="M28" i="1"/>
  <c r="F26" i="1"/>
  <c r="D28" i="1"/>
  <c r="M54" i="1"/>
  <c r="G52" i="1"/>
  <c r="M56" i="1"/>
  <c r="Q54" i="1"/>
  <c r="K52" i="1"/>
  <c r="G50" i="1"/>
  <c r="E90" i="1"/>
  <c r="S90" i="1"/>
  <c r="M92" i="1"/>
  <c r="D90" i="1"/>
  <c r="F56" i="1"/>
  <c r="I32" i="1"/>
  <c r="O32" i="1"/>
  <c r="I26" i="1"/>
  <c r="K34" i="1"/>
  <c r="E32" i="1"/>
  <c r="K28" i="1"/>
  <c r="M34" i="1"/>
  <c r="Q30" i="1"/>
  <c r="F32" i="1"/>
  <c r="D30" i="1"/>
  <c r="D40" i="1"/>
  <c r="O52" i="1"/>
  <c r="M52" i="1"/>
  <c r="Q58" i="1"/>
  <c r="K56" i="1"/>
  <c r="K58" i="1"/>
  <c r="M50" i="1"/>
  <c r="K90" i="1"/>
  <c r="E92" i="1"/>
  <c r="I92" i="1"/>
  <c r="D56" i="1"/>
  <c r="F50" i="1"/>
  <c r="Q34" i="1"/>
  <c r="E36" i="1"/>
  <c r="G30" i="1"/>
  <c r="M36" i="1"/>
  <c r="Q28" i="1"/>
  <c r="E30" i="1"/>
  <c r="S28" i="1"/>
  <c r="I36" i="1"/>
  <c r="F30" i="1"/>
  <c r="D34" i="1"/>
  <c r="E50" i="1"/>
  <c r="O56" i="1"/>
  <c r="S52" i="1"/>
  <c r="S56" i="1"/>
  <c r="Q56" i="1"/>
  <c r="G58" i="1"/>
  <c r="Q52" i="1"/>
  <c r="O90" i="1"/>
  <c r="G92" i="1"/>
  <c r="O92" i="1"/>
  <c r="F90" i="1"/>
  <c r="F58" i="1"/>
  <c r="S36" i="1"/>
  <c r="G26" i="1"/>
  <c r="I34" i="1"/>
  <c r="M26" i="1"/>
  <c r="O28" i="1"/>
  <c r="S34" i="1"/>
  <c r="M32" i="1"/>
  <c r="K32" i="1"/>
  <c r="F36" i="1"/>
  <c r="D32" i="1"/>
  <c r="G54" i="1"/>
  <c r="E58" i="1"/>
  <c r="I54" i="1"/>
  <c r="I58" i="1"/>
  <c r="O58" i="1"/>
  <c r="E52" i="1"/>
  <c r="S50" i="1"/>
  <c r="M90" i="1"/>
  <c r="K92" i="1"/>
  <c r="Q90" i="1"/>
  <c r="F92" i="1"/>
  <c r="D54" i="1"/>
  <c r="S30" i="1"/>
  <c r="S26" i="1"/>
  <c r="K36" i="1"/>
  <c r="O34" i="1"/>
  <c r="I28" i="1"/>
  <c r="I30" i="1"/>
  <c r="G34" i="1"/>
  <c r="G28" i="1"/>
  <c r="F28" i="1"/>
  <c r="D36" i="1"/>
  <c r="K50" i="1"/>
  <c r="Q50" i="1"/>
  <c r="G56" i="1"/>
  <c r="I56" i="1"/>
  <c r="I50" i="1"/>
  <c r="M58" i="1"/>
  <c r="S54" i="1"/>
  <c r="G90" i="1"/>
  <c r="Q92" i="1"/>
  <c r="D92" i="1"/>
  <c r="F54" i="1"/>
  <c r="D52" i="1"/>
  <c r="E26" i="1"/>
  <c r="E34" i="1"/>
  <c r="K26" i="1"/>
  <c r="Q36" i="1"/>
  <c r="O36" i="1"/>
  <c r="S32" i="1"/>
  <c r="Q32" i="1"/>
  <c r="K30" i="1"/>
  <c r="F34" i="1"/>
  <c r="D26" i="1"/>
  <c r="H58" i="1"/>
  <c r="H50" i="1"/>
  <c r="H92" i="1"/>
  <c r="J54" i="1"/>
  <c r="H26" i="1"/>
  <c r="H36" i="1"/>
  <c r="H52" i="1"/>
  <c r="H40" i="1"/>
  <c r="J58" i="1"/>
  <c r="H32" i="1"/>
  <c r="J40" i="1"/>
  <c r="J92" i="1"/>
  <c r="J56" i="1"/>
  <c r="H30" i="1"/>
  <c r="H54" i="1"/>
  <c r="J90" i="1"/>
  <c r="H28" i="1"/>
  <c r="H90" i="1"/>
  <c r="J52" i="1"/>
  <c r="H56" i="1"/>
  <c r="J50" i="1"/>
  <c r="H34" i="1"/>
  <c r="L40" i="1"/>
  <c r="L58" i="1"/>
  <c r="J26" i="1"/>
  <c r="J28" i="1"/>
  <c r="L92" i="1"/>
  <c r="L50" i="1"/>
  <c r="J32" i="1"/>
  <c r="L90" i="1"/>
  <c r="J30" i="1"/>
  <c r="L54" i="1"/>
  <c r="J36" i="1"/>
  <c r="J34" i="1"/>
  <c r="L56" i="1"/>
  <c r="L52" i="1"/>
  <c r="N40" i="1"/>
  <c r="N58" i="1"/>
  <c r="L28" i="1"/>
  <c r="L30" i="1"/>
  <c r="N92" i="1"/>
  <c r="N54" i="1"/>
  <c r="L34" i="1"/>
  <c r="N90" i="1"/>
  <c r="L26" i="1"/>
  <c r="L32" i="1"/>
  <c r="N50" i="1"/>
  <c r="N52" i="1"/>
  <c r="N56" i="1"/>
  <c r="L36" i="1"/>
  <c r="P40" i="1"/>
  <c r="P54" i="1"/>
  <c r="N30" i="1"/>
  <c r="P90" i="1"/>
  <c r="P56" i="1"/>
  <c r="N36" i="1"/>
  <c r="P92" i="1"/>
  <c r="N28" i="1"/>
  <c r="N34" i="1"/>
  <c r="P52" i="1"/>
  <c r="P58" i="1"/>
  <c r="N26" i="1"/>
  <c r="P50" i="1"/>
  <c r="N32" i="1"/>
  <c r="R40" i="1"/>
  <c r="R52" i="1"/>
  <c r="P26" i="1"/>
  <c r="R90" i="1"/>
  <c r="R58" i="1"/>
  <c r="P32" i="1"/>
  <c r="R92" i="1"/>
  <c r="P30" i="1"/>
  <c r="P36" i="1"/>
  <c r="R50" i="1"/>
  <c r="R54" i="1"/>
  <c r="P28" i="1"/>
  <c r="R56" i="1"/>
  <c r="P34" i="1"/>
  <c r="T40" i="1"/>
  <c r="T54" i="1"/>
  <c r="R28" i="1"/>
  <c r="T90" i="1"/>
  <c r="T50" i="1"/>
  <c r="R34" i="1"/>
  <c r="R32" i="1"/>
  <c r="T92" i="1"/>
  <c r="R26" i="1"/>
  <c r="T58" i="1"/>
  <c r="T52" i="1"/>
  <c r="R30" i="1"/>
  <c r="T56" i="1"/>
  <c r="R36" i="1"/>
  <c r="T28" i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28" i="1" l="1"/>
  <c r="U30" i="1"/>
  <c r="U56" i="1"/>
  <c r="U40" i="1"/>
  <c r="U26" i="1"/>
  <c r="U34" i="1"/>
  <c r="U54" i="1"/>
  <c r="U32" i="1"/>
  <c r="U52" i="1"/>
  <c r="U36" i="1"/>
  <c r="U42" i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U24" i="1" l="1"/>
  <c r="B6" i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<sst xmlns="http://schemas.openxmlformats.org/spreadsheetml/2006/main" count="93" uniqueCount="80">
  <si>
    <t>Total</t>
  </si>
  <si>
    <t>Date</t>
  </si>
  <si>
    <t>Heures</t>
  </si>
  <si>
    <t>Remarques</t>
  </si>
  <si>
    <t>Sem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</si>
  <si>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</si>
  <si>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</si>
  <si>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</si>
  <si>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</si>
  <si>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</si>
  <si>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</si>
  <si>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</si>
  <si>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</si>
  <si>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</si>
  <si>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</si>
  <si>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</si>
  <si>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</si>
  <si>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</si>
  <si>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25 -</t>
  </si>
  <si>
    <t>24 -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</si>
  <si>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</si>
  <si>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</si>
  <si>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</si>
  <si>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</si>
  <si>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</si>
  <si>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</si>
  <si>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</si>
  <si>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</si>
  <si>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</si>
  <si>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</si>
  <si>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</si>
  <si>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</si>
  <si>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54 Procédure d'installation</t>
  </si>
  <si>
    <t>55 Procédure de mise en service</t>
  </si>
  <si>
    <t>41 Tests unitaires</t>
  </si>
  <si>
    <t>42 Tests d'intégration</t>
  </si>
  <si>
    <t>56 Commentaires du code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</si>
  <si>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</si>
  <si>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</si>
  <si>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</si>
  <si>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</si>
  <si>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</si>
  <si>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</si>
  <si>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</si>
  <si>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</si>
  <si>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</si>
  <si>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</si>
  <si>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</si>
  <si>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</si>
  <si>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</si>
  <si>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</si>
  <si>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</si>
  <si>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</si>
  <si>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</si>
  <si>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</si>
  <si>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</si>
  <si>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</si>
  <si>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53 -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</si>
  <si>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</si>
  <si>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</si>
  <si>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</si>
  <si>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</si>
  <si>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</si>
  <si>
    <t>rédaction des objectis</t>
  </si>
  <si>
    <t>réflexion sur l'introduction au projet et comment la rédiger, prise de notes -&gt; structure du paragraphe</t>
  </si>
  <si>
    <t xml:space="preserve">semaine n° </t>
  </si>
  <si>
    <t>C</t>
  </si>
  <si>
    <t>O</t>
  </si>
  <si>
    <t>N</t>
  </si>
  <si>
    <t>G</t>
  </si>
  <si>
    <t>É</t>
  </si>
  <si>
    <t>Planification initiale</t>
  </si>
  <si>
    <t>39 Recherche : délai dépassé</t>
  </si>
  <si>
    <t>Rédaction de l'introduction</t>
  </si>
  <si>
    <t>Avancée</t>
  </si>
  <si>
    <t>Terminé</t>
  </si>
  <si>
    <t>En cours</t>
  </si>
  <si>
    <t>Rédaction de la stratégie de test</t>
  </si>
  <si>
    <t>début des maquettes</t>
  </si>
  <si>
    <t>en cours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</si>
</sst>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3">
    <xf numFmtId="0" fontId="0" fillId="0" borderId="0" xfId="0"/>
    <xf numFmtId="0" fontId="0" fillId="0" borderId="0" xfId="0" applyAlignment="1">
      <alignment horizontal="left"/>
    </xf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4" xfId="0" applyBorder="1" applyAlignment="1" applyProtection="1">
      <alignment horizontal="left" wrapText="1"/>
      <protection locked="0"/>
    </xf>
    <xf numFmtId="164" fontId="6" fillId="2" borderId="1" xfId="0" applyNumberFormat="1" applyFont="1" applyFill="1" applyBorder="1" applyAlignment="1" applyProtection="1">
      <alignment vertical="center" wrapText="1"/>
    </xf>
    <xf numFmtId="14" fontId="0" fillId="0" borderId="0" xfId="0" applyNumberFormat="1" applyAlignment="1">
      <alignment horizontal="left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NumberFormat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5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0" borderId="20" xfId="0" applyBorder="1" applyAlignment="1" applyProtection="1">
      <alignment horizontal="left" wrapText="1"/>
      <protection locked="0"/>
    </xf>
    <xf numFmtId="0" fontId="12" fillId="3" borderId="0" xfId="0" applyFont="1" applyFill="1" applyProtection="1"/>
    <xf numFmtId="0" fontId="13" fillId="3" borderId="0" xfId="0" applyFont="1" applyFill="1" applyProtection="1"/>
    <xf numFmtId="0" fontId="13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3" xfId="0" applyFill="1" applyBorder="1" applyProtection="1">
      <protection locked="0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0" fillId="0" borderId="20" xfId="0" applyNumberForma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165" fontId="0" fillId="0" borderId="20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11" borderId="24" xfId="0" applyFill="1" applyBorder="1"/>
    <xf numFmtId="0" fontId="0" fillId="4" borderId="34" xfId="0" applyFill="1" applyBorder="1"/>
    <xf numFmtId="0" fontId="0" fillId="0" borderId="35" xfId="0" applyFill="1" applyBorder="1"/>
    <xf numFmtId="0" fontId="0" fillId="0" borderId="35" xfId="0" applyBorder="1"/>
    <xf numFmtId="0" fontId="0" fillId="0" borderId="36" xfId="0" applyBorder="1"/>
    <xf numFmtId="0" fontId="0" fillId="0" borderId="34" xfId="0" applyBorder="1"/>
    <xf numFmtId="0" fontId="0" fillId="4" borderId="35" xfId="0" applyFill="1" applyBorder="1"/>
    <xf numFmtId="0" fontId="0" fillId="0" borderId="36" xfId="0" applyFill="1" applyBorder="1"/>
    <xf numFmtId="0" fontId="0" fillId="4" borderId="36" xfId="0" applyFill="1" applyBorder="1"/>
    <xf numFmtId="0" fontId="0" fillId="10" borderId="36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36" xfId="0" applyFill="1" applyBorder="1"/>
    <xf numFmtId="0" fontId="0" fillId="0" borderId="34" xfId="0" applyFill="1" applyBorder="1"/>
    <xf numFmtId="0" fontId="0" fillId="10" borderId="35" xfId="0" applyFill="1" applyBorder="1"/>
    <xf numFmtId="0" fontId="0" fillId="10" borderId="34" xfId="0" applyFill="1" applyBorder="1"/>
    <xf numFmtId="0" fontId="0" fillId="5" borderId="35" xfId="0" applyFill="1" applyBorder="1"/>
    <xf numFmtId="0" fontId="0" fillId="5" borderId="36" xfId="0" applyFill="1" applyBorder="1"/>
    <xf numFmtId="0" fontId="0" fillId="5" borderId="34" xfId="0" applyFill="1" applyBorder="1"/>
    <xf numFmtId="0" fontId="0" fillId="13" borderId="35" xfId="0" applyFill="1" applyBorder="1"/>
    <xf numFmtId="0" fontId="0" fillId="13" borderId="36" xfId="0" applyFill="1" applyBorder="1"/>
    <xf numFmtId="0" fontId="0" fillId="13" borderId="34" xfId="0" applyFill="1" applyBorder="1"/>
    <xf numFmtId="0" fontId="0" fillId="4" borderId="39" xfId="0" applyFill="1" applyBorder="1"/>
    <xf numFmtId="0" fontId="0" fillId="0" borderId="40" xfId="0" applyBorder="1"/>
    <xf numFmtId="0" fontId="0" fillId="11" borderId="20" xfId="0" applyFill="1" applyBorder="1"/>
    <xf numFmtId="0" fontId="0" fillId="0" borderId="38" xfId="0" applyBorder="1"/>
    <xf numFmtId="0" fontId="0" fillId="0" borderId="39" xfId="0" applyBorder="1"/>
    <xf numFmtId="0" fontId="0" fillId="0" borderId="46" xfId="0" applyBorder="1"/>
    <xf numFmtId="0" fontId="0" fillId="0" borderId="47" xfId="0" applyBorder="1"/>
    <xf numFmtId="0" fontId="0" fillId="12" borderId="47" xfId="0" applyFill="1" applyBorder="1"/>
    <xf numFmtId="0" fontId="0" fillId="0" borderId="47" xfId="0" applyFill="1" applyBorder="1"/>
    <xf numFmtId="164" fontId="6" fillId="2" borderId="12" xfId="0" applyNumberFormat="1" applyFont="1" applyFill="1" applyBorder="1" applyAlignment="1" applyProtection="1">
      <alignment vertical="center" wrapText="1"/>
    </xf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11" borderId="51" xfId="0" applyFill="1" applyBorder="1"/>
    <xf numFmtId="0" fontId="0" fillId="12" borderId="48" xfId="0" applyFill="1" applyBorder="1"/>
    <xf numFmtId="0" fontId="0" fillId="12" borderId="49" xfId="0" applyFill="1" applyBorder="1"/>
    <xf numFmtId="0" fontId="0" fillId="12" borderId="50" xfId="0" applyFill="1" applyBorder="1"/>
    <xf numFmtId="0" fontId="0" fillId="12" borderId="52" xfId="0" applyFill="1" applyBorder="1"/>
    <xf numFmtId="14" fontId="0" fillId="0" borderId="53" xfId="0" applyNumberFormat="1" applyBorder="1" applyAlignment="1">
      <alignment vertical="center" textRotation="90"/>
    </xf>
    <xf numFmtId="14" fontId="0" fillId="0" borderId="54" xfId="0" applyNumberFormat="1" applyBorder="1" applyAlignment="1">
      <alignment vertical="center" textRotation="90"/>
    </xf>
    <xf numFmtId="0" fontId="15" fillId="0" borderId="14" xfId="0" applyFont="1" applyFill="1" applyBorder="1" applyAlignment="1">
      <alignment vertical="center"/>
    </xf>
    <xf numFmtId="164" fontId="9" fillId="2" borderId="12" xfId="0" applyNumberFormat="1" applyFont="1" applyFill="1" applyBorder="1" applyAlignment="1" applyProtection="1">
      <alignment vertical="center" wrapText="1"/>
    </xf>
    <xf numFmtId="0" fontId="13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13" fillId="0" borderId="0" xfId="0" applyNumberFormat="1" applyFont="1" applyBorder="1" applyAlignment="1">
      <alignment vertical="center"/>
    </xf>
    <xf numFmtId="14" fontId="0" fillId="0" borderId="55" xfId="0" applyNumberFormat="1" applyBorder="1" applyAlignment="1">
      <alignment vertical="center" textRotation="90"/>
    </xf>
    <xf numFmtId="14" fontId="0" fillId="0" borderId="56" xfId="0" applyNumberFormat="1" applyBorder="1" applyAlignment="1">
      <alignment vertical="center" textRotation="90"/>
    </xf>
    <xf numFmtId="0" fontId="13" fillId="0" borderId="17" xfId="0" applyNumberFormat="1" applyFont="1" applyBorder="1" applyAlignment="1">
      <alignment vertical="center"/>
    </xf>
    <xf numFmtId="0" fontId="0" fillId="0" borderId="38" xfId="0" applyFill="1" applyBorder="1"/>
    <xf numFmtId="0" fontId="1" fillId="0" borderId="7" xfId="0" applyFont="1" applyBorder="1" applyAlignment="1">
      <alignment horizontal="left"/>
    </xf>
    <xf numFmtId="0" fontId="1" fillId="0" borderId="7" xfId="0" applyFont="1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4" xfId="0" applyBorder="1" applyAlignment="1">
      <alignment vertical="center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1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4" fillId="13" borderId="10" xfId="0" applyNumberFormat="1" applyFont="1" applyFill="1" applyBorder="1" applyAlignment="1" applyProtection="1">
      <alignment horizontal="left" vertical="top"/>
    </xf>
    <xf numFmtId="164" fontId="4" fillId="13" borderId="11" xfId="0" applyNumberFormat="1" applyFont="1" applyFill="1" applyBorder="1" applyAlignment="1" applyProtection="1">
      <alignment horizontal="left" vertical="top"/>
    </xf>
    <xf numFmtId="164" fontId="4" fillId="13" borderId="31" xfId="0" applyNumberFormat="1" applyFont="1" applyFill="1" applyBorder="1" applyAlignment="1" applyProtection="1">
      <alignment horizontal="left" vertical="top"/>
    </xf>
    <xf numFmtId="164" fontId="4" fillId="13" borderId="12" xfId="0" applyNumberFormat="1" applyFont="1" applyFill="1" applyBorder="1" applyAlignment="1" applyProtection="1">
      <alignment horizontal="left" vertical="top"/>
    </xf>
    <xf numFmtId="164" fontId="4" fillId="13" borderId="9" xfId="0" applyNumberFormat="1" applyFont="1" applyFill="1" applyBorder="1" applyAlignment="1" applyProtection="1">
      <alignment horizontal="left" vertical="top"/>
    </xf>
    <xf numFmtId="164" fontId="4" fillId="13" borderId="32" xfId="0" applyNumberFormat="1" applyFont="1" applyFill="1" applyBorder="1" applyAlignment="1" applyProtection="1">
      <alignment horizontal="left" vertical="top"/>
    </xf>
    <xf numFmtId="164" fontId="4" fillId="12" borderId="10" xfId="0" applyNumberFormat="1" applyFont="1" applyFill="1" applyBorder="1" applyAlignment="1" applyProtection="1">
      <alignment horizontal="left" vertical="top"/>
    </xf>
    <xf numFmtId="164" fontId="4" fillId="12" borderId="11" xfId="0" applyNumberFormat="1" applyFont="1" applyFill="1" applyBorder="1" applyAlignment="1" applyProtection="1">
      <alignment horizontal="left" vertical="top"/>
    </xf>
    <xf numFmtId="164" fontId="4" fillId="12" borderId="31" xfId="0" applyNumberFormat="1" applyFont="1" applyFill="1" applyBorder="1" applyAlignment="1" applyProtection="1">
      <alignment horizontal="left" vertical="top"/>
    </xf>
    <xf numFmtId="164" fontId="4" fillId="12" borderId="12" xfId="0" applyNumberFormat="1" applyFont="1" applyFill="1" applyBorder="1" applyAlignment="1" applyProtection="1">
      <alignment horizontal="left" vertical="top"/>
    </xf>
    <xf numFmtId="164" fontId="4" fillId="12" borderId="9" xfId="0" applyNumberFormat="1" applyFont="1" applyFill="1" applyBorder="1" applyAlignment="1" applyProtection="1">
      <alignment horizontal="left" vertical="top"/>
    </xf>
    <xf numFmtId="164" fontId="4" fillId="12" borderId="32" xfId="0" applyNumberFormat="1" applyFont="1" applyFill="1" applyBorder="1" applyAlignment="1" applyProtection="1">
      <alignment horizontal="left" vertical="top"/>
    </xf>
    <xf numFmtId="0" fontId="14" fillId="11" borderId="41" xfId="0" applyFont="1" applyFill="1" applyBorder="1" applyAlignment="1">
      <alignment horizontal="center" vertical="center" textRotation="255"/>
    </xf>
    <xf numFmtId="0" fontId="14" fillId="11" borderId="11" xfId="0" applyFont="1" applyFill="1" applyBorder="1" applyAlignment="1">
      <alignment horizontal="center" vertical="center" textRotation="255"/>
    </xf>
    <xf numFmtId="0" fontId="14" fillId="11" borderId="42" xfId="0" applyFont="1" applyFill="1" applyBorder="1" applyAlignment="1">
      <alignment horizontal="center" vertical="center" textRotation="255"/>
    </xf>
    <xf numFmtId="0" fontId="14" fillId="11" borderId="43" xfId="0" applyFont="1" applyFill="1" applyBorder="1" applyAlignment="1">
      <alignment horizontal="center" vertical="center" textRotation="255"/>
    </xf>
    <xf numFmtId="0" fontId="14" fillId="11" borderId="0" xfId="0" applyFont="1" applyFill="1" applyBorder="1" applyAlignment="1">
      <alignment horizontal="center" vertical="center" textRotation="255"/>
    </xf>
    <xf numFmtId="0" fontId="14" fillId="11" borderId="37" xfId="0" applyFont="1" applyFill="1" applyBorder="1" applyAlignment="1">
      <alignment horizontal="center" vertical="center" textRotation="255"/>
    </xf>
    <xf numFmtId="0" fontId="14" fillId="11" borderId="44" xfId="0" applyFont="1" applyFill="1" applyBorder="1" applyAlignment="1">
      <alignment horizontal="center" vertical="center" textRotation="255"/>
    </xf>
    <xf numFmtId="0" fontId="14" fillId="11" borderId="9" xfId="0" applyFont="1" applyFill="1" applyBorder="1" applyAlignment="1">
      <alignment horizontal="center" vertical="center" textRotation="255"/>
    </xf>
    <xf numFmtId="0" fontId="14" fillId="11" borderId="45" xfId="0" applyFont="1" applyFill="1" applyBorder="1" applyAlignment="1">
      <alignment horizontal="center" vertical="center" textRotation="255"/>
    </xf>
    <xf numFmtId="0" fontId="13" fillId="0" borderId="51" xfId="0" applyNumberFormat="1" applyFont="1" applyBorder="1" applyAlignment="1">
      <alignment horizontal="center" vertical="center"/>
    </xf>
    <xf numFmtId="164" fontId="4" fillId="4" borderId="1" xfId="0" applyNumberFormat="1" applyFont="1" applyFill="1" applyBorder="1" applyAlignment="1" applyProtection="1">
      <alignment horizontal="left" vertical="top"/>
    </xf>
    <xf numFmtId="164" fontId="4" fillId="4" borderId="0" xfId="0" applyNumberFormat="1" applyFont="1" applyFill="1" applyBorder="1" applyAlignment="1" applyProtection="1">
      <alignment horizontal="left" vertical="top"/>
    </xf>
    <xf numFmtId="164" fontId="4" fillId="4" borderId="13" xfId="0" applyNumberFormat="1" applyFont="1" applyFill="1" applyBorder="1" applyAlignment="1" applyProtection="1">
      <alignment horizontal="left" vertical="top"/>
    </xf>
    <xf numFmtId="164" fontId="4" fillId="10" borderId="31" xfId="0" applyNumberFormat="1" applyFont="1" applyFill="1" applyBorder="1" applyAlignment="1" applyProtection="1">
      <alignment horizontal="left" vertical="top"/>
    </xf>
    <xf numFmtId="164" fontId="4" fillId="10" borderId="32" xfId="0" applyNumberFormat="1" applyFont="1" applyFill="1" applyBorder="1" applyAlignment="1" applyProtection="1">
      <alignment horizontal="left" vertical="top"/>
    </xf>
    <xf numFmtId="164" fontId="4" fillId="5" borderId="10" xfId="0" applyNumberFormat="1" applyFont="1" applyFill="1" applyBorder="1" applyAlignment="1" applyProtection="1">
      <alignment horizontal="left" vertical="top"/>
    </xf>
    <xf numFmtId="164" fontId="4" fillId="5" borderId="11" xfId="0" applyNumberFormat="1" applyFont="1" applyFill="1" applyBorder="1" applyAlignment="1" applyProtection="1">
      <alignment horizontal="left" vertical="top"/>
    </xf>
    <xf numFmtId="164" fontId="4" fillId="5" borderId="31" xfId="0" applyNumberFormat="1" applyFont="1" applyFill="1" applyBorder="1" applyAlignment="1" applyProtection="1">
      <alignment horizontal="left" vertical="top"/>
    </xf>
    <xf numFmtId="164" fontId="4" fillId="5" borderId="12" xfId="0" applyNumberFormat="1" applyFont="1" applyFill="1" applyBorder="1" applyAlignment="1" applyProtection="1">
      <alignment horizontal="left" vertical="top"/>
    </xf>
    <xf numFmtId="164" fontId="4" fillId="5" borderId="9" xfId="0" applyNumberFormat="1" applyFont="1" applyFill="1" applyBorder="1" applyAlignment="1" applyProtection="1">
      <alignment horizontal="left" vertical="top"/>
    </xf>
    <xf numFmtId="164" fontId="4" fillId="5" borderId="32" xfId="0" applyNumberFormat="1" applyFont="1" applyFill="1" applyBorder="1" applyAlignment="1" applyProtection="1">
      <alignment horizontal="left" vertical="top"/>
    </xf>
  </cellXfs>
  <cellStyles count="1">
    <cellStyle name="Normal" xfId="0" builtinId="0"/>
  </cellStyles>
  <dxfs count="122"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99"/>
      <color rgb="FFC1D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1" workbookViewId="0">
      <selection activeCell="G25" sqref="G25"/>
    </sheetView>
  </sheetViews>
  <sheetFormatPr baseColWidth="10" defaultRowHeight="15" x14ac:dyDescent="0.25"/>
  <cols>
    <col min="1" max="1" width="22.42578125" style="53" customWidth="1"/>
    <col min="2" max="2" width="14.140625" style="53" customWidth="1"/>
    <col min="3" max="3" width="16.5703125" style="53" customWidth="1"/>
    <col min="4" max="4" width="17.28515625" style="53" customWidth="1"/>
    <col min="5" max="5" width="2.85546875" style="53" customWidth="1"/>
    <col min="6" max="6" width="21.7109375" style="53" bestFit="1" customWidth="1"/>
    <col min="7" max="7" width="30.7109375" style="53" customWidth="1"/>
    <col min="8" max="8" width="2.85546875" style="53" customWidth="1"/>
    <col min="9" max="16384" width="11.42578125" style="53"/>
  </cols>
  <sheetData>
    <row r="2" spans="1:8" s="66" customFormat="1" ht="18.75" x14ac:dyDescent="0.3">
      <c r="A2" s="64" t="s">
        <v>10</v>
      </c>
      <c r="B2" s="64" t="s">
        <v>13</v>
      </c>
      <c r="C2" s="64" t="s">
        <v>6</v>
      </c>
      <c r="D2" s="64" t="s">
        <v>9</v>
      </c>
      <c r="E2" s="64"/>
      <c r="F2" s="64" t="s">
        <v>11</v>
      </c>
      <c r="G2" s="64" t="s">
        <v>8</v>
      </c>
      <c r="H2" s="65"/>
    </row>
    <row r="3" spans="1:8" x14ac:dyDescent="0.25">
      <c r="A3" s="46" t="s">
        <v>39</v>
      </c>
      <c r="B3" s="49">
        <v>44228</v>
      </c>
      <c r="C3" s="50" t="s">
        <v>20</v>
      </c>
      <c r="D3" s="51" t="s">
        <v>21</v>
      </c>
      <c r="E3" s="52"/>
      <c r="F3" s="46" t="s">
        <v>22</v>
      </c>
      <c r="G3" s="61" t="s">
        <v>55</v>
      </c>
      <c r="H3" s="52"/>
    </row>
    <row r="4" spans="1:8" x14ac:dyDescent="0.25">
      <c r="A4" s="48" t="s">
        <v>40</v>
      </c>
      <c r="B4" s="52"/>
      <c r="C4" s="52"/>
      <c r="D4" s="52"/>
      <c r="E4" s="52"/>
      <c r="F4" s="44"/>
      <c r="G4" s="62" t="s">
        <v>54</v>
      </c>
      <c r="H4" s="52"/>
    </row>
    <row r="5" spans="1:8" x14ac:dyDescent="0.25">
      <c r="A5" s="52"/>
      <c r="B5" s="52"/>
      <c r="C5" s="52"/>
      <c r="D5" s="52"/>
      <c r="E5" s="52"/>
      <c r="F5" s="44"/>
      <c r="G5" s="62" t="s">
        <v>51</v>
      </c>
      <c r="H5" s="52"/>
    </row>
    <row r="6" spans="1:8" x14ac:dyDescent="0.25">
      <c r="A6" s="52"/>
      <c r="B6" s="52"/>
      <c r="C6" s="52"/>
      <c r="D6" s="52"/>
      <c r="E6" s="52"/>
      <c r="F6" s="44"/>
      <c r="G6" s="62" t="s">
        <v>52</v>
      </c>
      <c r="H6" s="52"/>
    </row>
    <row r="7" spans="1:8" x14ac:dyDescent="0.25">
      <c r="A7" s="52"/>
      <c r="B7" s="52"/>
      <c r="C7" s="52"/>
      <c r="D7" s="52"/>
      <c r="E7" s="52"/>
      <c r="F7" s="44"/>
      <c r="G7" s="47" t="s">
        <v>53</v>
      </c>
      <c r="H7" s="52"/>
    </row>
    <row r="8" spans="1:8" x14ac:dyDescent="0.25">
      <c r="A8" s="52"/>
      <c r="B8" s="52"/>
      <c r="C8" s="52"/>
      <c r="D8" s="52"/>
      <c r="E8" s="52"/>
      <c r="F8" s="45"/>
      <c r="G8" s="48" t="s">
        <v>59</v>
      </c>
      <c r="H8" s="52"/>
    </row>
    <row r="9" spans="1:8" x14ac:dyDescent="0.25">
      <c r="A9" s="52"/>
      <c r="B9" s="52"/>
      <c r="C9" s="52"/>
      <c r="D9" s="52"/>
      <c r="E9" s="52"/>
      <c r="F9" s="46" t="s">
        <v>28</v>
      </c>
      <c r="G9" s="46" t="s">
        <v>29</v>
      </c>
      <c r="H9" s="52"/>
    </row>
    <row r="10" spans="1:8" x14ac:dyDescent="0.25">
      <c r="A10" s="52"/>
      <c r="B10" s="52"/>
      <c r="C10" s="52"/>
      <c r="D10" s="52"/>
      <c r="E10" s="52"/>
      <c r="F10" s="44"/>
      <c r="G10" s="47" t="s">
        <v>30</v>
      </c>
      <c r="H10" s="52"/>
    </row>
    <row r="11" spans="1:8" x14ac:dyDescent="0.25">
      <c r="A11" s="52"/>
      <c r="B11" s="52"/>
      <c r="C11" s="52"/>
      <c r="D11" s="52"/>
      <c r="E11" s="52"/>
      <c r="F11" s="44"/>
      <c r="G11" s="47" t="s">
        <v>61</v>
      </c>
      <c r="H11" s="52"/>
    </row>
    <row r="12" spans="1:8" x14ac:dyDescent="0.25">
      <c r="A12" s="52"/>
      <c r="B12" s="52"/>
      <c r="C12" s="52"/>
      <c r="D12" s="52"/>
      <c r="E12" s="52"/>
      <c r="F12" s="44"/>
      <c r="G12" s="47" t="s">
        <v>19</v>
      </c>
      <c r="H12" s="52"/>
    </row>
    <row r="13" spans="1:8" x14ac:dyDescent="0.25">
      <c r="A13" s="52"/>
      <c r="B13" s="52"/>
      <c r="C13" s="52"/>
      <c r="D13" s="52"/>
      <c r="E13" s="52"/>
      <c r="F13" s="44"/>
      <c r="G13" s="47" t="s">
        <v>18</v>
      </c>
      <c r="H13" s="52"/>
    </row>
    <row r="14" spans="1:8" x14ac:dyDescent="0.25">
      <c r="A14" s="52"/>
      <c r="B14" s="52"/>
      <c r="C14" s="52"/>
      <c r="D14" s="52"/>
      <c r="E14" s="52"/>
      <c r="F14" s="44"/>
      <c r="G14" s="47" t="s">
        <v>14</v>
      </c>
      <c r="H14" s="52"/>
    </row>
    <row r="15" spans="1:8" x14ac:dyDescent="0.25">
      <c r="A15" s="52"/>
      <c r="B15" s="52"/>
      <c r="C15" s="52"/>
      <c r="D15" s="52"/>
      <c r="E15" s="52"/>
      <c r="F15" s="77" t="s">
        <v>23</v>
      </c>
      <c r="G15" s="46" t="s">
        <v>60</v>
      </c>
      <c r="H15" s="52"/>
    </row>
    <row r="16" spans="1:8" x14ac:dyDescent="0.25">
      <c r="A16" s="52"/>
      <c r="B16" s="52"/>
      <c r="C16" s="52"/>
      <c r="D16" s="52"/>
      <c r="E16" s="52"/>
      <c r="F16" s="44"/>
      <c r="G16" s="62" t="s">
        <v>45</v>
      </c>
      <c r="H16" s="52"/>
    </row>
    <row r="17" spans="1:8" x14ac:dyDescent="0.25">
      <c r="A17" s="52"/>
      <c r="B17" s="52"/>
      <c r="C17" s="52"/>
      <c r="D17" s="52"/>
      <c r="E17" s="52"/>
      <c r="F17" s="44"/>
      <c r="G17" s="62" t="s">
        <v>41</v>
      </c>
      <c r="H17" s="52"/>
    </row>
    <row r="18" spans="1:8" x14ac:dyDescent="0.25">
      <c r="A18" s="52"/>
      <c r="B18" s="52"/>
      <c r="C18" s="52"/>
      <c r="D18" s="52"/>
      <c r="E18" s="52"/>
      <c r="F18" s="44"/>
      <c r="G18" s="62" t="s">
        <v>44</v>
      </c>
      <c r="H18" s="52"/>
    </row>
    <row r="19" spans="1:8" x14ac:dyDescent="0.25">
      <c r="A19" s="52"/>
      <c r="B19" s="52"/>
      <c r="C19" s="52"/>
      <c r="D19" s="52"/>
      <c r="E19" s="52"/>
      <c r="F19" s="44"/>
      <c r="G19" s="62" t="s">
        <v>46</v>
      </c>
      <c r="H19" s="52"/>
    </row>
    <row r="20" spans="1:8" x14ac:dyDescent="0.25">
      <c r="A20" s="52"/>
      <c r="B20" s="52"/>
      <c r="C20" s="52"/>
      <c r="D20" s="52"/>
      <c r="E20" s="52"/>
      <c r="F20" s="44"/>
      <c r="G20" s="62" t="s">
        <v>47</v>
      </c>
      <c r="H20" s="52"/>
    </row>
    <row r="21" spans="1:8" x14ac:dyDescent="0.25">
      <c r="A21" s="52"/>
      <c r="B21" s="52"/>
      <c r="C21" s="52"/>
      <c r="D21" s="52"/>
      <c r="E21" s="52"/>
      <c r="F21" s="44"/>
      <c r="G21" s="62" t="s">
        <v>48</v>
      </c>
      <c r="H21" s="52"/>
    </row>
    <row r="22" spans="1:8" x14ac:dyDescent="0.25">
      <c r="A22" s="52"/>
      <c r="B22" s="52"/>
      <c r="C22" s="52"/>
      <c r="D22" s="52"/>
      <c r="E22" s="52"/>
      <c r="F22" s="44"/>
      <c r="G22" s="62" t="s">
        <v>49</v>
      </c>
      <c r="H22" s="52"/>
    </row>
    <row r="23" spans="1:8" x14ac:dyDescent="0.25">
      <c r="A23" s="52"/>
      <c r="B23" s="52"/>
      <c r="C23" s="52"/>
      <c r="D23" s="52"/>
      <c r="E23" s="52"/>
      <c r="F23" s="44"/>
      <c r="G23" s="62" t="s">
        <v>50</v>
      </c>
      <c r="H23" s="52"/>
    </row>
    <row r="24" spans="1:8" x14ac:dyDescent="0.25">
      <c r="A24" s="52"/>
      <c r="B24" s="52"/>
      <c r="C24" s="52"/>
      <c r="D24" s="52"/>
      <c r="E24" s="52"/>
      <c r="F24" s="45"/>
      <c r="G24" s="62" t="s">
        <v>72</v>
      </c>
      <c r="H24" s="52"/>
    </row>
    <row r="25" spans="1:8" x14ac:dyDescent="0.25">
      <c r="A25" s="52"/>
      <c r="B25" s="52"/>
      <c r="C25" s="52"/>
      <c r="D25" s="52"/>
      <c r="E25" s="52"/>
      <c r="F25" s="46" t="s">
        <v>26</v>
      </c>
      <c r="G25" s="46" t="s">
        <v>34</v>
      </c>
      <c r="H25" s="52"/>
    </row>
    <row r="26" spans="1:8" x14ac:dyDescent="0.25">
      <c r="A26" s="52"/>
      <c r="B26" s="52"/>
      <c r="C26" s="52"/>
      <c r="D26" s="52"/>
      <c r="E26" s="52"/>
      <c r="F26" s="44"/>
      <c r="G26" s="47" t="s">
        <v>35</v>
      </c>
      <c r="H26" s="52"/>
    </row>
    <row r="27" spans="1:8" x14ac:dyDescent="0.25">
      <c r="A27" s="52"/>
      <c r="B27" s="52"/>
      <c r="C27" s="52"/>
      <c r="D27" s="52"/>
      <c r="E27" s="52"/>
      <c r="F27" s="44"/>
      <c r="G27" s="47" t="s">
        <v>42</v>
      </c>
      <c r="H27" s="52"/>
    </row>
    <row r="28" spans="1:8" x14ac:dyDescent="0.25">
      <c r="A28" s="52"/>
      <c r="B28" s="52"/>
      <c r="C28" s="52"/>
      <c r="D28" s="52"/>
      <c r="E28" s="52"/>
      <c r="F28" s="44"/>
      <c r="G28" s="47" t="s">
        <v>15</v>
      </c>
      <c r="H28" s="52"/>
    </row>
    <row r="29" spans="1:8" x14ac:dyDescent="0.25">
      <c r="A29" s="52"/>
      <c r="B29" s="52"/>
      <c r="C29" s="52"/>
      <c r="D29" s="52"/>
      <c r="E29" s="52"/>
      <c r="F29" s="44"/>
      <c r="G29" s="47" t="s">
        <v>16</v>
      </c>
      <c r="H29" s="52"/>
    </row>
    <row r="30" spans="1:8" x14ac:dyDescent="0.25">
      <c r="A30" s="52"/>
      <c r="B30" s="52"/>
      <c r="C30" s="52"/>
      <c r="D30" s="52"/>
      <c r="E30" s="52"/>
      <c r="F30" s="45"/>
      <c r="G30" s="47" t="s">
        <v>17</v>
      </c>
      <c r="H30" s="52"/>
    </row>
    <row r="31" spans="1:8" x14ac:dyDescent="0.25">
      <c r="A31" s="52"/>
      <c r="B31" s="52"/>
      <c r="C31" s="52"/>
      <c r="D31" s="52"/>
      <c r="E31" s="52"/>
      <c r="F31" s="46" t="s">
        <v>24</v>
      </c>
      <c r="G31" s="46" t="s">
        <v>58</v>
      </c>
      <c r="H31" s="52"/>
    </row>
    <row r="32" spans="1:8" x14ac:dyDescent="0.25">
      <c r="A32" s="52"/>
      <c r="B32" s="52"/>
      <c r="C32" s="52"/>
      <c r="D32" s="52"/>
      <c r="E32" s="52"/>
      <c r="F32" s="44"/>
      <c r="G32" s="47" t="s">
        <v>31</v>
      </c>
      <c r="H32" s="52"/>
    </row>
    <row r="33" spans="1:8" x14ac:dyDescent="0.25">
      <c r="A33" s="52"/>
      <c r="B33" s="52"/>
      <c r="C33" s="52"/>
      <c r="D33" s="52"/>
      <c r="E33" s="52"/>
      <c r="F33" s="44"/>
      <c r="G33" s="47" t="s">
        <v>57</v>
      </c>
      <c r="H33" s="52"/>
    </row>
    <row r="34" spans="1:8" x14ac:dyDescent="0.25">
      <c r="A34" s="52"/>
      <c r="B34" s="52"/>
      <c r="C34" s="52"/>
      <c r="D34" s="52"/>
      <c r="E34" s="52"/>
      <c r="F34" s="44"/>
      <c r="G34" s="47" t="s">
        <v>32</v>
      </c>
      <c r="H34" s="52"/>
    </row>
    <row r="35" spans="1:8" x14ac:dyDescent="0.25">
      <c r="A35" s="52"/>
      <c r="B35" s="52"/>
      <c r="C35" s="52"/>
      <c r="D35" s="52"/>
      <c r="E35" s="52"/>
      <c r="F35" s="44"/>
      <c r="G35" s="47" t="s">
        <v>33</v>
      </c>
      <c r="H35" s="52"/>
    </row>
    <row r="36" spans="1:8" x14ac:dyDescent="0.25">
      <c r="A36" s="52"/>
      <c r="B36" s="52"/>
      <c r="C36" s="52"/>
      <c r="D36" s="52"/>
      <c r="E36" s="52"/>
      <c r="F36" s="45"/>
      <c r="G36" s="47" t="s">
        <v>36</v>
      </c>
      <c r="H36" s="52"/>
    </row>
    <row r="37" spans="1:8" x14ac:dyDescent="0.25">
      <c r="A37" s="52"/>
      <c r="B37" s="52"/>
      <c r="C37" s="52"/>
      <c r="D37" s="52"/>
      <c r="E37" s="52"/>
      <c r="F37" s="46" t="s">
        <v>27</v>
      </c>
      <c r="G37" s="46"/>
      <c r="H37" s="52"/>
    </row>
    <row r="38" spans="1:8" x14ac:dyDescent="0.25">
      <c r="A38" s="52"/>
      <c r="B38" s="52"/>
      <c r="C38" s="52"/>
      <c r="D38" s="52"/>
      <c r="E38" s="52"/>
      <c r="F38" s="44"/>
      <c r="G38" s="47"/>
      <c r="H38" s="52"/>
    </row>
    <row r="39" spans="1:8" x14ac:dyDescent="0.25">
      <c r="A39" s="52"/>
      <c r="B39" s="52"/>
      <c r="C39" s="52"/>
      <c r="D39" s="52"/>
      <c r="E39" s="52"/>
      <c r="F39" s="44"/>
      <c r="G39" s="47"/>
      <c r="H39" s="52"/>
    </row>
    <row r="40" spans="1:8" x14ac:dyDescent="0.25">
      <c r="A40" s="52"/>
      <c r="B40" s="52"/>
      <c r="C40" s="52"/>
      <c r="D40" s="52"/>
      <c r="E40" s="52"/>
      <c r="F40" s="44"/>
      <c r="G40" s="47"/>
      <c r="H40" s="52"/>
    </row>
    <row r="41" spans="1:8" x14ac:dyDescent="0.25">
      <c r="A41" s="52"/>
      <c r="B41" s="52"/>
      <c r="C41" s="52"/>
      <c r="D41" s="52"/>
      <c r="E41" s="52"/>
      <c r="F41" s="44"/>
      <c r="G41" s="47"/>
      <c r="H41" s="52"/>
    </row>
    <row r="42" spans="1:8" x14ac:dyDescent="0.25">
      <c r="A42" s="52"/>
      <c r="B42" s="52"/>
      <c r="C42" s="52"/>
      <c r="D42" s="52"/>
      <c r="E42" s="52"/>
      <c r="F42" s="45"/>
      <c r="G42" s="48"/>
      <c r="H42" s="52"/>
    </row>
    <row r="43" spans="1:8" x14ac:dyDescent="0.25">
      <c r="A43" s="52"/>
      <c r="B43" s="52"/>
      <c r="C43" s="52"/>
      <c r="D43" s="52"/>
      <c r="E43" s="52"/>
      <c r="F43" s="52"/>
      <c r="G43" s="52"/>
      <c r="H43" s="52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showWhiteSpace="0" zoomScaleNormal="100" zoomScalePageLayoutView="70" workbookViewId="0">
      <pane xSplit="20" ySplit="8" topLeftCell="U18" activePane="bottomRight" state="frozen"/>
      <selection pane="topRight" activeCell="U1" sqref="U1"/>
      <selection pane="bottomLeft" activeCell="A9" sqref="A9"/>
      <selection pane="bottomRight" activeCell="B29" sqref="B29:B30"/>
    </sheetView>
  </sheetViews>
  <sheetFormatPr baseColWidth="10" defaultRowHeight="16.5" x14ac:dyDescent="0.25"/>
  <cols>
    <col min="1" max="1" width="8.5703125" style="11" customWidth="1"/>
    <col min="2" max="2" width="39.42578125" style="11" customWidth="1"/>
    <col min="3" max="3" width="10.42578125" style="11" customWidth="1"/>
    <col min="4" max="4" width="8.28515625" style="11" customWidth="1"/>
    <col min="5" max="5" width="1.42578125" style="3" customWidth="1"/>
    <col min="6" max="6" width="8" style="11" bestFit="1" customWidth="1"/>
    <col min="7" max="7" width="1.42578125" style="3" customWidth="1"/>
    <col min="8" max="8" width="7.85546875" style="11" customWidth="1"/>
    <col min="9" max="9" width="1.42578125" style="3" customWidth="1"/>
    <col min="10" max="10" width="8" style="11" customWidth="1"/>
    <col min="11" max="11" width="1.42578125" style="3" customWidth="1"/>
    <col min="12" max="12" width="7.85546875" style="11" bestFit="1" customWidth="1"/>
    <col min="13" max="13" width="1.42578125" style="3" customWidth="1"/>
    <col min="14" max="14" width="8.28515625" style="11" bestFit="1" customWidth="1"/>
    <col min="15" max="15" width="1.42578125" style="3" customWidth="1"/>
    <col min="16" max="16" width="8.28515625" style="11" bestFit="1" customWidth="1"/>
    <col min="17" max="17" width="1.42578125" style="3" customWidth="1"/>
    <col min="18" max="18" width="7.85546875" style="11" bestFit="1" customWidth="1"/>
    <col min="19" max="19" width="1.42578125" style="3" customWidth="1"/>
    <col min="20" max="20" width="7.85546875" style="11" customWidth="1"/>
    <col min="21" max="16384" width="11.42578125" style="11"/>
  </cols>
  <sheetData>
    <row r="3" spans="1:21" s="3" customFormat="1" ht="26.25" x14ac:dyDescent="0.25">
      <c r="A3" s="30"/>
      <c r="B3" s="32" t="str">
        <f>CONCATENATE(Base!A3," - ",Base!A4)</f>
        <v>Location - Matériel</v>
      </c>
      <c r="C3" s="29"/>
      <c r="D3" s="155" t="s">
        <v>43</v>
      </c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</row>
    <row r="4" spans="1:21" s="8" customFormat="1" ht="59.25" customHeight="1" thickBot="1" x14ac:dyDescent="0.35">
      <c r="A4" s="31"/>
      <c r="B4" s="5" t="s">
        <v>0</v>
      </c>
      <c r="C4" s="4"/>
      <c r="D4" s="6">
        <f>Base!B3</f>
        <v>44228</v>
      </c>
      <c r="E4" s="7"/>
      <c r="F4" s="55">
        <f>D4+7</f>
        <v>44235</v>
      </c>
      <c r="G4" s="7"/>
      <c r="H4" s="6">
        <f>F4+7</f>
        <v>44242</v>
      </c>
      <c r="I4" s="7"/>
      <c r="J4" s="6">
        <f>H4+7</f>
        <v>44249</v>
      </c>
      <c r="K4" s="7"/>
      <c r="L4" s="6">
        <f>J4+7</f>
        <v>44256</v>
      </c>
      <c r="M4" s="7"/>
      <c r="N4" s="6">
        <f>L4+7</f>
        <v>44263</v>
      </c>
      <c r="O4" s="7"/>
      <c r="P4" s="55">
        <f>N4+7</f>
        <v>44270</v>
      </c>
      <c r="Q4" s="7"/>
      <c r="R4" s="68">
        <f>P4+7</f>
        <v>44277</v>
      </c>
      <c r="S4" s="7"/>
      <c r="T4" s="68">
        <f>R4+7</f>
        <v>44284</v>
      </c>
      <c r="U4" s="54"/>
    </row>
    <row r="5" spans="1:21" ht="18.75" customHeight="1" thickBot="1" x14ac:dyDescent="0.3">
      <c r="A5" s="9" t="s">
        <v>5</v>
      </c>
      <c r="B5" s="10">
        <f>SUM(D5:T5)</f>
        <v>2.7708333333333335</v>
      </c>
      <c r="D5" s="12">
        <f>SUMIF($C$11:$C$10003,$C11,D$11:D$10003)</f>
        <v>0.34722222222222227</v>
      </c>
      <c r="E5" s="13"/>
      <c r="F5" s="12">
        <f>SUMIF($C$11:$C$10003,$C11,F$11:F$10003)</f>
        <v>0.375</v>
      </c>
      <c r="G5" s="13"/>
      <c r="H5" s="12">
        <f>SUMIF($C$11:$C$10003,$C11,H$11:H$10003)</f>
        <v>0.375</v>
      </c>
      <c r="I5" s="13"/>
      <c r="J5" s="12">
        <f>SUMIF($C$11:$C$10003,$C11,J$11:J$10003)</f>
        <v>0</v>
      </c>
      <c r="K5" s="13"/>
      <c r="L5" s="12">
        <f>SUMIF($C$11:$C$10003,$C11,L$11:L$10003)</f>
        <v>0.38888888888888895</v>
      </c>
      <c r="M5" s="13"/>
      <c r="N5" s="12">
        <f>SUMIF($C$11:$C$10003,$C11,N$11:N$10003)</f>
        <v>0.37500000000000006</v>
      </c>
      <c r="O5" s="13"/>
      <c r="P5" s="12">
        <f>SUMIF($C$11:$C$10003,$C11,P$11:P$10003)</f>
        <v>0.36805555555555558</v>
      </c>
      <c r="Q5" s="13"/>
      <c r="R5" s="12">
        <f>SUMIF($C$11:$C$10003,$C11,R$11:R$10003)</f>
        <v>0.37499999999999994</v>
      </c>
      <c r="S5" s="13"/>
      <c r="T5" s="12">
        <f>SUMIF($C$11:$C$10003,$C11,T$11:T$10003)</f>
        <v>0.16666666666666666</v>
      </c>
    </row>
    <row r="6" spans="1:21" ht="18" customHeight="1" thickBot="1" x14ac:dyDescent="0.3">
      <c r="A6" s="15" t="s">
        <v>25</v>
      </c>
      <c r="B6" s="16">
        <f>SUM(D6:T6)</f>
        <v>0.16666666666666666</v>
      </c>
      <c r="C6" s="3"/>
      <c r="D6" s="14">
        <f>SUMIF($C$11:$C$10003,$C12,D$11:D$10003)</f>
        <v>0.16666666666666666</v>
      </c>
      <c r="E6" s="13"/>
      <c r="F6" s="14">
        <f>SUMIF($C$11:$C$10003,$C12,F$11:F$10003)</f>
        <v>0</v>
      </c>
      <c r="G6" s="13"/>
      <c r="H6" s="14">
        <f>SUMIF($C$11:$C$10003,$C12,H$11:H$10003)</f>
        <v>0</v>
      </c>
      <c r="I6" s="13"/>
      <c r="J6" s="14">
        <f>SUMIF($C$11:$C$10003,$C12,J$11:J$10003)</f>
        <v>0</v>
      </c>
      <c r="K6" s="13"/>
      <c r="L6" s="14">
        <f>SUMIF($C$11:$C$10003,$C12,L$11:L$10003)</f>
        <v>0</v>
      </c>
      <c r="M6" s="13"/>
      <c r="N6" s="14">
        <f>SUMIF($C$11:$C$10003,$C12,N$11:N$10003)</f>
        <v>0</v>
      </c>
      <c r="O6" s="13"/>
      <c r="P6" s="14">
        <f>SUMIF($C$11:$C$10003,$C12,P$11:P$10003)</f>
        <v>0</v>
      </c>
      <c r="Q6" s="13"/>
      <c r="R6" s="14">
        <f>SUMIF($C$11:$C$10003,$C12,R$11:R$10003)</f>
        <v>0</v>
      </c>
      <c r="S6" s="13"/>
      <c r="T6" s="14">
        <f>SUMIF($C$11:$C$10003,$C12,T$11:T$10003)</f>
        <v>0</v>
      </c>
    </row>
    <row r="7" spans="1:21" ht="18" customHeight="1" x14ac:dyDescent="0.25">
      <c r="A7" s="30"/>
      <c r="B7" s="30"/>
      <c r="C7" s="3"/>
      <c r="D7" s="69"/>
      <c r="E7" s="13"/>
      <c r="F7" s="69"/>
      <c r="G7" s="13"/>
      <c r="H7" s="69"/>
      <c r="I7" s="13"/>
      <c r="J7" s="69"/>
      <c r="K7" s="13"/>
      <c r="L7" s="69"/>
      <c r="M7" s="13"/>
      <c r="N7" s="69"/>
      <c r="O7" s="13"/>
      <c r="P7" s="69"/>
      <c r="Q7" s="13"/>
      <c r="R7" s="69"/>
      <c r="S7" s="13"/>
      <c r="T7" s="69"/>
    </row>
    <row r="8" spans="1:21" ht="15" customHeight="1" thickBot="1" x14ac:dyDescent="0.3">
      <c r="A8" s="2"/>
      <c r="B8" s="2"/>
      <c r="C8" s="70" t="s">
        <v>38</v>
      </c>
      <c r="D8" s="67">
        <f>WEEKNUM(D4,1)</f>
        <v>6</v>
      </c>
      <c r="E8" s="67">
        <f t="shared" ref="E8:T8" si="0">WEEKNUM(E4,1)</f>
        <v>0</v>
      </c>
      <c r="F8" s="67">
        <f t="shared" si="0"/>
        <v>7</v>
      </c>
      <c r="G8" s="67">
        <f t="shared" si="0"/>
        <v>0</v>
      </c>
      <c r="H8" s="67">
        <f t="shared" si="0"/>
        <v>8</v>
      </c>
      <c r="I8" s="67">
        <f t="shared" si="0"/>
        <v>0</v>
      </c>
      <c r="J8" s="67">
        <f t="shared" si="0"/>
        <v>9</v>
      </c>
      <c r="K8" s="67">
        <f t="shared" si="0"/>
        <v>0</v>
      </c>
      <c r="L8" s="67">
        <f t="shared" si="0"/>
        <v>10</v>
      </c>
      <c r="M8" s="67">
        <f t="shared" si="0"/>
        <v>0</v>
      </c>
      <c r="N8" s="67">
        <f t="shared" si="0"/>
        <v>11</v>
      </c>
      <c r="O8" s="67">
        <f t="shared" si="0"/>
        <v>0</v>
      </c>
      <c r="P8" s="67">
        <f t="shared" si="0"/>
        <v>12</v>
      </c>
      <c r="Q8" s="67">
        <f t="shared" si="0"/>
        <v>0</v>
      </c>
      <c r="R8" s="67">
        <f t="shared" si="0"/>
        <v>13</v>
      </c>
      <c r="S8" s="67">
        <f t="shared" si="0"/>
        <v>0</v>
      </c>
      <c r="T8" s="67">
        <f t="shared" si="0"/>
        <v>14</v>
      </c>
    </row>
    <row r="9" spans="1:21" ht="20.25" customHeight="1" x14ac:dyDescent="0.25">
      <c r="A9" s="156" t="str">
        <f>Base!F3</f>
        <v>1 Analyse</v>
      </c>
      <c r="B9" s="157"/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8"/>
      <c r="U9" s="17">
        <f>SUMIF($C11:$C22,$C11,U11:U22)</f>
        <v>0.2638888888888889</v>
      </c>
    </row>
    <row r="10" spans="1:21" ht="15" customHeight="1" thickBot="1" x14ac:dyDescent="0.3">
      <c r="A10" s="159"/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1"/>
      <c r="U10" s="18">
        <f>SUMIF($C11:$C22,$C12,U11:U22)</f>
        <v>0.14583333333333331</v>
      </c>
    </row>
    <row r="11" spans="1:21" ht="15" customHeight="1" x14ac:dyDescent="0.25">
      <c r="A11" s="38"/>
      <c r="B11" s="151" t="str">
        <f>Base!G3</f>
        <v>11 Analyse préliminaire</v>
      </c>
      <c r="C11" s="19" t="str">
        <f>A$5</f>
        <v>Prévu</v>
      </c>
      <c r="D11" s="33">
        <v>4.1666666666666664E-2</v>
      </c>
      <c r="E11" s="34"/>
      <c r="F11" s="37"/>
      <c r="G11" s="34"/>
      <c r="H11" s="33"/>
      <c r="I11" s="35"/>
      <c r="J11" s="36"/>
      <c r="K11" s="35"/>
      <c r="L11" s="37"/>
      <c r="M11" s="34"/>
      <c r="N11" s="36"/>
      <c r="O11" s="34"/>
      <c r="P11" s="37"/>
      <c r="Q11" s="34"/>
      <c r="R11" s="37"/>
      <c r="S11" s="34"/>
      <c r="T11" s="37"/>
      <c r="U11" s="20">
        <f t="shared" ref="U11:U22" si="1">IF(SUM(D11:T11)=0,"",SUM(D11:T11))</f>
        <v>4.1666666666666664E-2</v>
      </c>
    </row>
    <row r="12" spans="1:21" ht="15" customHeight="1" thickBot="1" x14ac:dyDescent="0.3">
      <c r="A12" s="38"/>
      <c r="B12" s="152"/>
      <c r="C12" s="21" t="str">
        <f>A$6</f>
        <v>Réalisé</v>
      </c>
      <c r="D12" s="22">
        <f>SUMIFS(Journal!$D$4:$D$9283,Journal!$B$4:$B$9283,D$8,Journal!$C$4:$C$9283,$B11)</f>
        <v>4.1666666666666664E-2</v>
      </c>
      <c r="E12" s="23"/>
      <c r="F12" s="22"/>
      <c r="G12" s="23"/>
      <c r="H12" s="22">
        <f>SUMIFS(Journal!$D$4:$D$9283,Journal!$B$4:$B$9283,H$8,Journal!$C$4:$C$9283,$B11)</f>
        <v>0</v>
      </c>
      <c r="I12" s="24"/>
      <c r="J12" s="22">
        <f>SUMIFS(Journal!$D$4:$D$9283,Journal!$B$4:$B$9283,J$8,Journal!$C$4:$C$9283,$B11)</f>
        <v>0</v>
      </c>
      <c r="K12" s="24"/>
      <c r="L12" s="22">
        <f>SUMIFS(Journal!$D$4:$D$9283,Journal!$B$4:$B$9283,L$8,Journal!$C$4:$C$9283,$B11)</f>
        <v>0</v>
      </c>
      <c r="M12" s="23"/>
      <c r="N12" s="22">
        <f>SUMIFS(Journal!$D$4:$D$9283,Journal!$B$4:$B$9283,N$8,Journal!$C$4:$C$9283,$B11)</f>
        <v>0</v>
      </c>
      <c r="O12" s="23"/>
      <c r="P12" s="22">
        <f>SUMIFS(Journal!$D$4:$D$9283,Journal!$B$4:$B$9283,P$8,Journal!$C$4:$C$9283,$B11)</f>
        <v>0</v>
      </c>
      <c r="Q12" s="23"/>
      <c r="R12" s="22">
        <f>SUMIFS(Journal!$D$4:$D$9283,Journal!$B$4:$B$9283,R$8,Journal!$C$4:$C$9283,$B11)</f>
        <v>0</v>
      </c>
      <c r="S12" s="23"/>
      <c r="T12" s="22">
        <f>SUMIFS(Journal!$D$4:$D$9283,Journal!$B$4:$B$9283,T$8,Journal!$C$4:$C$9283,$B11)</f>
        <v>0</v>
      </c>
      <c r="U12" s="25">
        <f t="shared" si="1"/>
        <v>4.1666666666666664E-2</v>
      </c>
    </row>
    <row r="13" spans="1:21" ht="15" customHeight="1" x14ac:dyDescent="0.25">
      <c r="A13" s="38"/>
      <c r="B13" s="153" t="str">
        <f>Base!G4</f>
        <v>12 Planification initiale</v>
      </c>
      <c r="C13" s="19" t="str">
        <f>A$5</f>
        <v>Prévu</v>
      </c>
      <c r="D13" s="33">
        <v>6.25E-2</v>
      </c>
      <c r="E13" s="34"/>
      <c r="F13" s="37"/>
      <c r="G13" s="34"/>
      <c r="H13" s="33"/>
      <c r="I13" s="35"/>
      <c r="J13" s="33"/>
      <c r="K13" s="35"/>
      <c r="L13" s="37"/>
      <c r="M13" s="34"/>
      <c r="N13" s="36"/>
      <c r="O13" s="34"/>
      <c r="P13" s="37"/>
      <c r="Q13" s="34"/>
      <c r="R13" s="37"/>
      <c r="S13" s="34"/>
      <c r="T13" s="37"/>
      <c r="U13" s="20">
        <f t="shared" si="1"/>
        <v>6.25E-2</v>
      </c>
    </row>
    <row r="14" spans="1:21" ht="15" customHeight="1" thickBot="1" x14ac:dyDescent="0.3">
      <c r="A14" s="38"/>
      <c r="B14" s="152"/>
      <c r="C14" s="21" t="str">
        <f>A$6</f>
        <v>Réalisé</v>
      </c>
      <c r="D14" s="22">
        <f>SUMIFS(Journal!$D$4:$D$9283,Journal!$B$4:$B$9283,D$8,Journal!$C$4:$C$9283,$B13)</f>
        <v>6.25E-2</v>
      </c>
      <c r="E14" s="23"/>
      <c r="F14" s="22">
        <f>SUMIFS(Journal!$D$4:$D$9283,Journal!$B$4:$B$9283,F$8,Journal!$C$4:$C$9283,$B13)</f>
        <v>0</v>
      </c>
      <c r="G14" s="23"/>
      <c r="H14" s="22">
        <f>SUMIFS(Journal!$D$4:$D$9283,Journal!$B$4:$B$9283,H$8,Journal!$C$4:$C$9283,$B13)</f>
        <v>0</v>
      </c>
      <c r="I14" s="24"/>
      <c r="J14" s="22">
        <f>SUMIFS(Journal!$D$4:$D$9283,Journal!$B$4:$B$9283,J$8,Journal!$C$4:$C$9283,$B13)</f>
        <v>0</v>
      </c>
      <c r="K14" s="24"/>
      <c r="L14" s="22">
        <f>SUMIFS(Journal!$D$4:$D$9283,Journal!$B$4:$B$9283,L$8,Journal!$C$4:$C$9283,$B13)</f>
        <v>0</v>
      </c>
      <c r="M14" s="23"/>
      <c r="N14" s="22">
        <f>SUMIFS(Journal!$D$4:$D$9283,Journal!$B$4:$B$9283,N$8,Journal!$C$4:$C$9283,$B13)</f>
        <v>0</v>
      </c>
      <c r="O14" s="23"/>
      <c r="P14" s="22">
        <f>SUMIFS(Journal!$D$4:$D$9283,Journal!$B$4:$B$9283,P$8,Journal!$C$4:$C$9283,$B13)</f>
        <v>0</v>
      </c>
      <c r="Q14" s="23"/>
      <c r="R14" s="22">
        <f>SUMIFS(Journal!$D$4:$D$9283,Journal!$B$4:$B$9283,R$8,Journal!$C$4:$C$9283,$B13)</f>
        <v>0</v>
      </c>
      <c r="S14" s="23"/>
      <c r="T14" s="22">
        <f>SUMIFS(Journal!$D$4:$D$9283,Journal!$B$4:$B$9283,T$8,Journal!$C$4:$C$9283,$B13)</f>
        <v>0</v>
      </c>
      <c r="U14" s="25">
        <f t="shared" si="1"/>
        <v>6.25E-2</v>
      </c>
    </row>
    <row r="15" spans="1:21" ht="15" customHeight="1" x14ac:dyDescent="0.25">
      <c r="A15" s="38"/>
      <c r="B15" s="153" t="str">
        <f>Base!G5</f>
        <v>13 Objectifs du projet</v>
      </c>
      <c r="C15" s="19" t="str">
        <f>A$5</f>
        <v>Prévu</v>
      </c>
      <c r="D15" s="33">
        <v>1.3888888888888888E-2</v>
      </c>
      <c r="E15" s="34"/>
      <c r="F15" s="37"/>
      <c r="G15" s="34"/>
      <c r="H15" s="33"/>
      <c r="I15" s="35"/>
      <c r="J15" s="36"/>
      <c r="K15" s="35"/>
      <c r="L15" s="37"/>
      <c r="M15" s="34"/>
      <c r="N15" s="36"/>
      <c r="O15" s="34"/>
      <c r="P15" s="37"/>
      <c r="Q15" s="34"/>
      <c r="S15" s="34"/>
      <c r="T15" s="37"/>
      <c r="U15" s="20">
        <f t="shared" si="1"/>
        <v>1.3888888888888888E-2</v>
      </c>
    </row>
    <row r="16" spans="1:21" ht="15" customHeight="1" thickBot="1" x14ac:dyDescent="0.3">
      <c r="A16" s="38"/>
      <c r="B16" s="152"/>
      <c r="C16" s="21" t="str">
        <f>A$6</f>
        <v>Réalisé</v>
      </c>
      <c r="D16" s="22">
        <f>SUMIFS(Journal!$D$4:$D$9283,Journal!$B$4:$B$9283,D$8,Journal!$C$4:$C$9283,$B15)</f>
        <v>2.0833333333333332E-2</v>
      </c>
      <c r="E16" s="23"/>
      <c r="F16" s="22">
        <f>SUMIFS(Journal!$D$4:$D$9283,Journal!$B$4:$B$9283,F$8,Journal!$C$4:$C$9283,$B15)</f>
        <v>0</v>
      </c>
      <c r="G16" s="23"/>
      <c r="H16" s="22">
        <f>SUMIFS(Journal!$D$4:$D$9283,Journal!$B$4:$B$9283,H$8,Journal!$C$4:$C$9283,$B15)</f>
        <v>0</v>
      </c>
      <c r="I16" s="24"/>
      <c r="J16" s="22">
        <f>SUMIFS(Journal!$D$4:$D$9283,Journal!$B$4:$B$9283,J$8,Journal!$C$4:$C$9283,$B15)</f>
        <v>0</v>
      </c>
      <c r="K16" s="24"/>
      <c r="L16" s="22">
        <f>SUMIFS(Journal!$D$4:$D$9283,Journal!$B$4:$B$9283,L$8,Journal!$C$4:$C$9283,$B15)</f>
        <v>0</v>
      </c>
      <c r="M16" s="23"/>
      <c r="N16" s="22">
        <f>SUMIFS(Journal!$D$4:$D$9283,Journal!$B$4:$B$9283,N$8,Journal!$C$4:$C$9283,$B15)</f>
        <v>0</v>
      </c>
      <c r="O16" s="23"/>
      <c r="P16" s="22">
        <f>SUMIFS(Journal!$D$4:$D$9283,Journal!$B$4:$B$9283,P$8,Journal!$C$4:$C$9283,$B15)</f>
        <v>0</v>
      </c>
      <c r="Q16" s="23"/>
      <c r="R16" s="22">
        <f>SUMIFS(Journal!$D$4:$D$9283,Journal!$B$4:$B$9283,R$8,Journal!$C$4:$C$9283,$B15)</f>
        <v>0</v>
      </c>
      <c r="S16" s="23"/>
      <c r="T16" s="22">
        <f>SUMIFS(Journal!$D$4:$D$9283,Journal!$B$4:$B$9283,T$8,Journal!$C$4:$C$9283,$B15)</f>
        <v>0</v>
      </c>
      <c r="U16" s="25">
        <f t="shared" si="1"/>
        <v>2.0833333333333332E-2</v>
      </c>
    </row>
    <row r="17" spans="1:21" ht="15" customHeight="1" x14ac:dyDescent="0.25">
      <c r="A17" s="38"/>
      <c r="B17" s="153" t="str">
        <f>Base!G6</f>
        <v>14 Stratégie de tests</v>
      </c>
      <c r="C17" s="19" t="str">
        <f>A$5</f>
        <v>Prévu</v>
      </c>
      <c r="D17" s="36">
        <v>6.25E-2</v>
      </c>
      <c r="E17" s="34"/>
      <c r="F17" s="33"/>
      <c r="G17" s="35"/>
      <c r="H17" s="36"/>
      <c r="I17" s="35"/>
      <c r="J17" s="37"/>
      <c r="K17" s="34"/>
      <c r="L17" s="33"/>
      <c r="M17" s="34"/>
      <c r="N17" s="33"/>
      <c r="O17" s="34"/>
      <c r="P17" s="33"/>
      <c r="Q17" s="34"/>
      <c r="R17" s="33"/>
      <c r="S17" s="34"/>
      <c r="T17" s="33"/>
      <c r="U17" s="20">
        <f t="shared" si="1"/>
        <v>6.25E-2</v>
      </c>
    </row>
    <row r="18" spans="1:21" ht="15" customHeight="1" thickBot="1" x14ac:dyDescent="0.3">
      <c r="A18" s="38"/>
      <c r="B18" s="152"/>
      <c r="C18" s="21" t="str">
        <f>A$6</f>
        <v>Réalisé</v>
      </c>
      <c r="D18" s="22">
        <f>SUMIFS(Journal!$D$4:$D$9283,Journal!$B$4:$B$9283,D$8,Journal!$C$4:$C$9283,$B17)</f>
        <v>2.0833333333333332E-2</v>
      </c>
      <c r="E18" s="23"/>
      <c r="F18" s="22">
        <f>SUMIFS(Journal!$D$4:$D$9283,Journal!$B$4:$B$9283,F$8,Journal!$C$4:$C$9283,$B17)</f>
        <v>0</v>
      </c>
      <c r="G18" s="24"/>
      <c r="H18" s="22">
        <f>SUMIFS(Journal!$D$4:$D$9283,Journal!$B$4:$B$9283,H$8,Journal!$C$4:$C$9283,$B17)</f>
        <v>0</v>
      </c>
      <c r="I18" s="24"/>
      <c r="J18" s="22">
        <f>SUMIFS(Journal!$D$4:$D$9283,Journal!$B$4:$B$9283,J$8,Journal!$C$4:$C$9283,$B17)</f>
        <v>0</v>
      </c>
      <c r="K18" s="23"/>
      <c r="L18" s="22">
        <f>SUMIFS(Journal!$D$4:$D$9283,Journal!$B$4:$B$9283,L$8,Journal!$C$4:$C$9283,$B17)</f>
        <v>0</v>
      </c>
      <c r="M18" s="23"/>
      <c r="N18" s="22">
        <f>SUMIFS(Journal!$D$4:$D$9283,Journal!$B$4:$B$9283,N$8,Journal!$C$4:$C$9283,$B17)</f>
        <v>0</v>
      </c>
      <c r="O18" s="23"/>
      <c r="P18" s="22">
        <f>SUMIFS(Journal!$D$4:$D$9283,Journal!$B$4:$B$9283,P$8,Journal!$C$4:$C$9283,$B17)</f>
        <v>0</v>
      </c>
      <c r="Q18" s="23"/>
      <c r="R18" s="22">
        <f>SUMIFS(Journal!$D$4:$D$9283,Journal!$B$4:$B$9283,R$8,Journal!$C$4:$C$9283,$B17)</f>
        <v>0</v>
      </c>
      <c r="S18" s="23"/>
      <c r="T18" s="22">
        <f>SUMIFS(Journal!$D$4:$D$9283,Journal!$B$4:$B$9283,T$8,Journal!$C$4:$C$9283,$B17)</f>
        <v>0</v>
      </c>
      <c r="U18" s="25">
        <f t="shared" si="1"/>
        <v>2.0833333333333332E-2</v>
      </c>
    </row>
    <row r="19" spans="1:21" ht="15" customHeight="1" x14ac:dyDescent="0.25">
      <c r="A19" s="38"/>
      <c r="B19" s="153" t="str">
        <f>Base!G7</f>
        <v>15 Risques techniques</v>
      </c>
      <c r="C19" s="19" t="str">
        <f>A$5</f>
        <v>Prévu</v>
      </c>
      <c r="D19" s="33"/>
      <c r="E19" s="34"/>
      <c r="F19" s="33"/>
      <c r="G19" s="35"/>
      <c r="H19" s="33"/>
      <c r="I19" s="35"/>
      <c r="J19" s="37"/>
      <c r="K19" s="34"/>
      <c r="L19" s="37"/>
      <c r="M19" s="34"/>
      <c r="N19" s="36"/>
      <c r="O19" s="34"/>
      <c r="P19" s="37"/>
      <c r="Q19" s="34"/>
      <c r="R19" s="33"/>
      <c r="S19" s="34"/>
      <c r="T19" s="33">
        <v>4.1666666666666664E-2</v>
      </c>
      <c r="U19" s="20">
        <f t="shared" si="1"/>
        <v>4.1666666666666664E-2</v>
      </c>
    </row>
    <row r="20" spans="1:21" ht="15" customHeight="1" thickBot="1" x14ac:dyDescent="0.3">
      <c r="A20" s="38"/>
      <c r="B20" s="152"/>
      <c r="C20" s="21" t="str">
        <f>A$6</f>
        <v>Réalisé</v>
      </c>
      <c r="D20" s="22">
        <f>SUMIFS(Journal!$D$4:$D$9283,Journal!$B$4:$B$9283,D$8,Journal!$C$4:$C$9283,$B19)</f>
        <v>0</v>
      </c>
      <c r="E20" s="23"/>
      <c r="F20" s="22">
        <f>SUMIFS(Journal!$D$4:$D$9283,Journal!$B$4:$B$9283,F$8,Journal!$C$4:$C$9283,$B19)</f>
        <v>0</v>
      </c>
      <c r="G20" s="24"/>
      <c r="H20" s="22">
        <f>SUMIFS(Journal!$D$4:$D$9283,Journal!$B$4:$B$9283,H$8,Journal!$C$4:$C$9283,$B19)</f>
        <v>0</v>
      </c>
      <c r="I20" s="24"/>
      <c r="J20" s="22">
        <f>SUMIFS(Journal!$D$4:$D$9283,Journal!$B$4:$B$9283,J$8,Journal!$C$4:$C$9283,$B19)</f>
        <v>0</v>
      </c>
      <c r="K20" s="23"/>
      <c r="L20" s="22">
        <f>SUMIFS(Journal!$D$4:$D$9283,Journal!$B$4:$B$9283,L$8,Journal!$C$4:$C$9283,$B19)</f>
        <v>0</v>
      </c>
      <c r="M20" s="23"/>
      <c r="N20" s="22">
        <f>SUMIFS(Journal!$D$4:$D$9283,Journal!$B$4:$B$9283,N$8,Journal!$C$4:$C$9283,$B19)</f>
        <v>0</v>
      </c>
      <c r="O20" s="23"/>
      <c r="P20" s="22">
        <f>SUMIFS(Journal!$D$4:$D$9283,Journal!$B$4:$B$9283,P$8,Journal!$C$4:$C$9283,$B19)</f>
        <v>0</v>
      </c>
      <c r="Q20" s="23"/>
      <c r="R20" s="22">
        <f>SUMIFS(Journal!$D$4:$D$9283,Journal!$B$4:$B$9283,R$8,Journal!$C$4:$C$9283,$B19)</f>
        <v>0</v>
      </c>
      <c r="S20" s="23"/>
      <c r="T20" s="22">
        <f>SUMIFS(Journal!$D$4:$D$9283,Journal!$B$4:$B$9283,T$8,Journal!$C$4:$C$9283,$B19)</f>
        <v>0</v>
      </c>
      <c r="U20" s="25" t="str">
        <f t="shared" si="1"/>
        <v/>
      </c>
    </row>
    <row r="21" spans="1:21" ht="15" customHeight="1" x14ac:dyDescent="0.25">
      <c r="A21" s="38"/>
      <c r="B21" s="153" t="str">
        <f>Base!G8</f>
        <v>16 Planification définitive</v>
      </c>
      <c r="C21" s="19" t="str">
        <f>A$5</f>
        <v>Prévu</v>
      </c>
      <c r="D21" s="36">
        <v>4.1666666666666664E-2</v>
      </c>
      <c r="E21" s="34"/>
      <c r="F21" s="33"/>
      <c r="G21" s="35"/>
      <c r="H21" s="36"/>
      <c r="I21" s="35"/>
      <c r="J21" s="37"/>
      <c r="K21" s="34"/>
      <c r="L21" s="33"/>
      <c r="M21" s="34"/>
      <c r="N21" s="33"/>
      <c r="O21" s="34"/>
      <c r="P21" s="33"/>
      <c r="Q21" s="34"/>
      <c r="R21" s="33"/>
      <c r="S21" s="34"/>
      <c r="T21" s="33"/>
      <c r="U21" s="20">
        <f t="shared" si="1"/>
        <v>4.1666666666666664E-2</v>
      </c>
    </row>
    <row r="22" spans="1:21" ht="15" customHeight="1" thickBot="1" x14ac:dyDescent="0.3">
      <c r="A22" s="38"/>
      <c r="B22" s="154"/>
      <c r="C22" s="21" t="str">
        <f>A$6</f>
        <v>Réalisé</v>
      </c>
      <c r="D22" s="22">
        <f>SUMIFS(Journal!$D$4:$D$9283,Journal!$B$4:$B$9283,D$8,Journal!$C$4:$C$9283,$B21)</f>
        <v>0</v>
      </c>
      <c r="E22" s="23"/>
      <c r="F22" s="22">
        <f>SUMIFS(Journal!$D$4:$D$9283,Journal!$B$4:$B$9283,F$8,Journal!$C$4:$C$9283,$B21)</f>
        <v>0</v>
      </c>
      <c r="G22" s="24"/>
      <c r="H22" s="22">
        <f>SUMIFS(Journal!$D$4:$D$9283,Journal!$B$4:$B$9283,H$8,Journal!$C$4:$C$9283,$B21)</f>
        <v>0</v>
      </c>
      <c r="I22" s="24"/>
      <c r="J22" s="22">
        <f>SUMIFS(Journal!$D$4:$D$9283,Journal!$B$4:$B$9283,J$8,Journal!$C$4:$C$9283,$B21)</f>
        <v>0</v>
      </c>
      <c r="K22" s="23"/>
      <c r="L22" s="22">
        <f>SUMIFS(Journal!$D$4:$D$9283,Journal!$B$4:$B$9283,L$8,Journal!$C$4:$C$9283,$B21)</f>
        <v>0</v>
      </c>
      <c r="M22" s="23"/>
      <c r="N22" s="22">
        <f>SUMIFS(Journal!$D$4:$D$9283,Journal!$B$4:$B$9283,N$8,Journal!$C$4:$C$9283,$B21)</f>
        <v>0</v>
      </c>
      <c r="O22" s="23"/>
      <c r="P22" s="22">
        <f>SUMIFS(Journal!$D$4:$D$9283,Journal!$B$4:$B$9283,P$8,Journal!$C$4:$C$9283,$B21)</f>
        <v>0</v>
      </c>
      <c r="Q22" s="23"/>
      <c r="R22" s="22">
        <f>SUMIFS(Journal!$D$4:$D$9283,Journal!$B$4:$B$9283,R$8,Journal!$C$4:$C$9283,$B21)</f>
        <v>0</v>
      </c>
      <c r="S22" s="23"/>
      <c r="T22" s="22">
        <f>SUMIFS(Journal!$D$4:$D$9283,Journal!$B$4:$B$9283,T$8,Journal!$C$4:$C$9283,$B21)</f>
        <v>0</v>
      </c>
      <c r="U22" s="25" t="str">
        <f t="shared" si="1"/>
        <v/>
      </c>
    </row>
    <row r="23" spans="1:21" ht="15" customHeight="1" x14ac:dyDescent="0.25">
      <c r="A23" s="162" t="str">
        <f>Base!F9</f>
        <v>2 Conception</v>
      </c>
      <c r="B23" s="163"/>
      <c r="C23" s="163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7">
        <f>SUMIF($C25:$C36,$C25,U25:U36)</f>
        <v>0.25</v>
      </c>
    </row>
    <row r="24" spans="1:21" ht="15" customHeight="1" thickBot="1" x14ac:dyDescent="0.3">
      <c r="A24" s="164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8">
        <f>SUMIF($C25:$C36,$C26,U25:U36)</f>
        <v>1.3888888888888888E-2</v>
      </c>
    </row>
    <row r="25" spans="1:21" ht="15" customHeight="1" x14ac:dyDescent="0.25">
      <c r="A25" s="38"/>
      <c r="B25" s="151" t="str">
        <f>Base!G9</f>
        <v>21 Base de données (MCD, MLD)</v>
      </c>
      <c r="C25" s="19" t="str">
        <f>A$5</f>
        <v>Prévu</v>
      </c>
      <c r="D25" s="33"/>
      <c r="E25" s="33"/>
      <c r="F25" s="33">
        <v>8.3333333333333329E-2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75">
        <f>IF(SUM(D25:T25)=0,"",SUM(D25:T25))</f>
        <v>8.3333333333333329E-2</v>
      </c>
    </row>
    <row r="26" spans="1:21" ht="15" customHeight="1" thickBot="1" x14ac:dyDescent="0.3">
      <c r="A26" s="38"/>
      <c r="B26" s="152"/>
      <c r="C26" s="21" t="str">
        <f>A$6</f>
        <v>Réalisé</v>
      </c>
      <c r="D26" s="22">
        <f>SUMIFS(Journal!$D$4:$D$9283,Journal!$B$4:$B$9283,D$8,Journal!$C$4:$C$9283,$B25)</f>
        <v>0</v>
      </c>
      <c r="E26" s="22">
        <f>SUMIFS(Journal!$D$4:$D$9283,Journal!$B$4:$B$9283,E$8,Journal!$C$4:$C$9283,$B25)</f>
        <v>0</v>
      </c>
      <c r="F26" s="22">
        <f>SUMIFS(Journal!$D$4:$D$9283,Journal!$B$4:$B$9283,F$8,Journal!$C$4:$C$9283,$B25)</f>
        <v>0</v>
      </c>
      <c r="G26" s="22">
        <f>SUMIFS(Journal!$D$4:$D$9283,Journal!$B$4:$B$9283,G$8,Journal!$C$4:$C$9283,$B25)</f>
        <v>0</v>
      </c>
      <c r="H26" s="22">
        <f>SUMIFS(Journal!$D$4:$D$9283,Journal!$B$4:$B$9283,H$8,Journal!$C$4:$C$9283,$B25)</f>
        <v>0</v>
      </c>
      <c r="I26" s="22">
        <f>SUMIFS(Journal!$D$4:$D$9283,Journal!$B$4:$B$9283,I$8,Journal!$C$4:$C$9283,$B25)</f>
        <v>0</v>
      </c>
      <c r="J26" s="22">
        <f>SUMIFS(Journal!$D$4:$D$9283,Journal!$B$4:$B$9283,J$8,Journal!$C$4:$C$9283,$B25)</f>
        <v>0</v>
      </c>
      <c r="K26" s="22">
        <f>SUMIFS(Journal!$D$4:$D$9283,Journal!$B$4:$B$9283,K$8,Journal!$C$4:$C$9283,$B25)</f>
        <v>0</v>
      </c>
      <c r="L26" s="22">
        <f>SUMIFS(Journal!$D$4:$D$9283,Journal!$B$4:$B$9283,L$8,Journal!$C$4:$C$9283,$B25)</f>
        <v>0</v>
      </c>
      <c r="M26" s="22">
        <f>SUMIFS(Journal!$D$4:$D$9283,Journal!$B$4:$B$9283,M$8,Journal!$C$4:$C$9283,$B25)</f>
        <v>0</v>
      </c>
      <c r="N26" s="22">
        <f>SUMIFS(Journal!$D$4:$D$9283,Journal!$B$4:$B$9283,N$8,Journal!$C$4:$C$9283,$B25)</f>
        <v>0</v>
      </c>
      <c r="O26" s="22">
        <f>SUMIFS(Journal!$D$4:$D$9283,Journal!$B$4:$B$9283,O$8,Journal!$C$4:$C$9283,$B25)</f>
        <v>0</v>
      </c>
      <c r="P26" s="22">
        <f>SUMIFS(Journal!$D$4:$D$9283,Journal!$B$4:$B$9283,P$8,Journal!$C$4:$C$9283,$B25)</f>
        <v>0</v>
      </c>
      <c r="Q26" s="22">
        <f>SUMIFS(Journal!$D$4:$D$9283,Journal!$B$4:$B$9283,Q$8,Journal!$C$4:$C$9283,$B25)</f>
        <v>0</v>
      </c>
      <c r="R26" s="22">
        <f>SUMIFS(Journal!$D$4:$D$9283,Journal!$B$4:$B$9283,R$8,Journal!$C$4:$C$9283,$B25)</f>
        <v>0</v>
      </c>
      <c r="S26" s="22">
        <f>SUMIFS(Journal!$D$4:$D$9283,Journal!$B$4:$B$9283,S$8,Journal!$C$4:$C$9283,$B25)</f>
        <v>0</v>
      </c>
      <c r="T26" s="22">
        <f>SUMIFS(Journal!$D$4:$D$9283,Journal!$B$4:$B$9283,T$8,Journal!$C$4:$C$9283,$B25)</f>
        <v>0</v>
      </c>
      <c r="U26" s="76" t="str">
        <f>IF(SUM(D26:T26)=0,"",SUM(D26:T26))</f>
        <v/>
      </c>
    </row>
    <row r="27" spans="1:21" ht="15" customHeight="1" x14ac:dyDescent="0.25">
      <c r="A27" s="38"/>
      <c r="B27" s="153" t="str">
        <f>Base!G10</f>
        <v>22 Maquettes</v>
      </c>
      <c r="C27" s="19" t="str">
        <f>A$5</f>
        <v>Prévu</v>
      </c>
      <c r="D27" s="33">
        <v>4.1666666666666664E-2</v>
      </c>
      <c r="E27" s="33"/>
      <c r="F27" s="33">
        <v>4.1666666666666664E-2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75">
        <f t="shared" ref="U27:U36" si="2">IF(SUM(D27:T27)=0,"",SUM(D27:T27))</f>
        <v>8.3333333333333329E-2</v>
      </c>
    </row>
    <row r="28" spans="1:21" ht="15" customHeight="1" thickBot="1" x14ac:dyDescent="0.3">
      <c r="A28" s="38"/>
      <c r="B28" s="152"/>
      <c r="C28" s="21" t="str">
        <f>A$6</f>
        <v>Réalisé</v>
      </c>
      <c r="D28" s="22">
        <f>SUMIFS(Journal!$D$4:$D$9283,Journal!$B$4:$B$9283,D$8,Journal!$C$4:$C$9283,$B27)</f>
        <v>1.3888888888888888E-2</v>
      </c>
      <c r="E28" s="22">
        <f>SUMIFS(Journal!$D$4:$D$9283,Journal!$B$4:$B$9283,E$8,Journal!$C$4:$C$9283,$B27)</f>
        <v>0</v>
      </c>
      <c r="F28" s="22">
        <f>SUMIFS(Journal!$D$4:$D$9283,Journal!$B$4:$B$9283,F$8,Journal!$C$4:$C$9283,$B27)</f>
        <v>0</v>
      </c>
      <c r="G28" s="22">
        <f>SUMIFS(Journal!$D$4:$D$9283,Journal!$B$4:$B$9283,G$8,Journal!$C$4:$C$9283,$B27)</f>
        <v>0</v>
      </c>
      <c r="H28" s="22">
        <f>SUMIFS(Journal!$D$4:$D$9283,Journal!$B$4:$B$9283,H$8,Journal!$C$4:$C$9283,$B27)</f>
        <v>0</v>
      </c>
      <c r="I28" s="22">
        <f>SUMIFS(Journal!$D$4:$D$9283,Journal!$B$4:$B$9283,I$8,Journal!$C$4:$C$9283,$B27)</f>
        <v>0</v>
      </c>
      <c r="J28" s="22">
        <f>SUMIFS(Journal!$D$4:$D$9283,Journal!$B$4:$B$9283,J$8,Journal!$C$4:$C$9283,$B27)</f>
        <v>0</v>
      </c>
      <c r="K28" s="22">
        <f>SUMIFS(Journal!$D$4:$D$9283,Journal!$B$4:$B$9283,K$8,Journal!$C$4:$C$9283,$B27)</f>
        <v>0</v>
      </c>
      <c r="L28" s="22">
        <f>SUMIFS(Journal!$D$4:$D$9283,Journal!$B$4:$B$9283,L$8,Journal!$C$4:$C$9283,$B27)</f>
        <v>0</v>
      </c>
      <c r="M28" s="22">
        <f>SUMIFS(Journal!$D$4:$D$9283,Journal!$B$4:$B$9283,M$8,Journal!$C$4:$C$9283,$B27)</f>
        <v>0</v>
      </c>
      <c r="N28" s="22">
        <f>SUMIFS(Journal!$D$4:$D$9283,Journal!$B$4:$B$9283,N$8,Journal!$C$4:$C$9283,$B27)</f>
        <v>0</v>
      </c>
      <c r="O28" s="22">
        <f>SUMIFS(Journal!$D$4:$D$9283,Journal!$B$4:$B$9283,O$8,Journal!$C$4:$C$9283,$B27)</f>
        <v>0</v>
      </c>
      <c r="P28" s="22">
        <f>SUMIFS(Journal!$D$4:$D$9283,Journal!$B$4:$B$9283,P$8,Journal!$C$4:$C$9283,$B27)</f>
        <v>0</v>
      </c>
      <c r="Q28" s="22">
        <f>SUMIFS(Journal!$D$4:$D$9283,Journal!$B$4:$B$9283,Q$8,Journal!$C$4:$C$9283,$B27)</f>
        <v>0</v>
      </c>
      <c r="R28" s="22">
        <f>SUMIFS(Journal!$D$4:$D$9283,Journal!$B$4:$B$9283,R$8,Journal!$C$4:$C$9283,$B27)</f>
        <v>0</v>
      </c>
      <c r="S28" s="22">
        <f>SUMIFS(Journal!$D$4:$D$9283,Journal!$B$4:$B$9283,S$8,Journal!$C$4:$C$9283,$B27)</f>
        <v>0</v>
      </c>
      <c r="T28" s="22">
        <f>SUMIFS(Journal!$D$4:$D$9283,Journal!$B$4:$B$9283,T$8,Journal!$C$4:$C$9283,$B27)</f>
        <v>0</v>
      </c>
      <c r="U28" s="76">
        <f t="shared" si="2"/>
        <v>1.3888888888888888E-2</v>
      </c>
    </row>
    <row r="29" spans="1:21" ht="15" customHeight="1" x14ac:dyDescent="0.25">
      <c r="A29" s="38"/>
      <c r="B29" s="153" t="str">
        <f>Base!G11</f>
        <v>23 Diagrammes</v>
      </c>
      <c r="C29" s="19" t="str">
        <f>A$5</f>
        <v>Prévu</v>
      </c>
      <c r="D29" s="33">
        <v>4.1666666666666664E-2</v>
      </c>
      <c r="E29" s="33"/>
      <c r="F29" s="33">
        <v>4.1666666666666664E-2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75">
        <f t="shared" si="2"/>
        <v>8.3333333333333329E-2</v>
      </c>
    </row>
    <row r="30" spans="1:21" ht="15" customHeight="1" thickBot="1" x14ac:dyDescent="0.3">
      <c r="A30" s="38"/>
      <c r="B30" s="152"/>
      <c r="C30" s="21" t="str">
        <f>A$6</f>
        <v>Réalisé</v>
      </c>
      <c r="D30" s="22">
        <f>SUMIFS(Journal!$D$4:$D$9283,Journal!$B$4:$B$9283,D$8,Journal!$C$4:$C$9283,$B29)</f>
        <v>0</v>
      </c>
      <c r="E30" s="22">
        <f>SUMIFS(Journal!$D$4:$D$9283,Journal!$B$4:$B$9283,E$8,Journal!$C$4:$C$9283,$B29)</f>
        <v>0</v>
      </c>
      <c r="F30" s="22">
        <f>SUMIFS(Journal!$D$4:$D$9283,Journal!$B$4:$B$9283,F$8,Journal!$C$4:$C$9283,$B29)</f>
        <v>0</v>
      </c>
      <c r="G30" s="22">
        <f>SUMIFS(Journal!$D$4:$D$9283,Journal!$B$4:$B$9283,G$8,Journal!$C$4:$C$9283,$B29)</f>
        <v>0</v>
      </c>
      <c r="H30" s="22">
        <f>SUMIFS(Journal!$D$4:$D$9283,Journal!$B$4:$B$9283,H$8,Journal!$C$4:$C$9283,$B29)</f>
        <v>0</v>
      </c>
      <c r="I30" s="22">
        <f>SUMIFS(Journal!$D$4:$D$9283,Journal!$B$4:$B$9283,I$8,Journal!$C$4:$C$9283,$B29)</f>
        <v>0</v>
      </c>
      <c r="J30" s="22">
        <f>SUMIFS(Journal!$D$4:$D$9283,Journal!$B$4:$B$9283,J$8,Journal!$C$4:$C$9283,$B29)</f>
        <v>0</v>
      </c>
      <c r="K30" s="22">
        <f>SUMIFS(Journal!$D$4:$D$9283,Journal!$B$4:$B$9283,K$8,Journal!$C$4:$C$9283,$B29)</f>
        <v>0</v>
      </c>
      <c r="L30" s="22">
        <f>SUMIFS(Journal!$D$4:$D$9283,Journal!$B$4:$B$9283,L$8,Journal!$C$4:$C$9283,$B29)</f>
        <v>0</v>
      </c>
      <c r="M30" s="22">
        <f>SUMIFS(Journal!$D$4:$D$9283,Journal!$B$4:$B$9283,M$8,Journal!$C$4:$C$9283,$B29)</f>
        <v>0</v>
      </c>
      <c r="N30" s="22">
        <f>SUMIFS(Journal!$D$4:$D$9283,Journal!$B$4:$B$9283,N$8,Journal!$C$4:$C$9283,$B29)</f>
        <v>0</v>
      </c>
      <c r="O30" s="22">
        <f>SUMIFS(Journal!$D$4:$D$9283,Journal!$B$4:$B$9283,O$8,Journal!$C$4:$C$9283,$B29)</f>
        <v>0</v>
      </c>
      <c r="P30" s="22">
        <f>SUMIFS(Journal!$D$4:$D$9283,Journal!$B$4:$B$9283,P$8,Journal!$C$4:$C$9283,$B29)</f>
        <v>0</v>
      </c>
      <c r="Q30" s="22">
        <f>SUMIFS(Journal!$D$4:$D$9283,Journal!$B$4:$B$9283,Q$8,Journal!$C$4:$C$9283,$B29)</f>
        <v>0</v>
      </c>
      <c r="R30" s="22">
        <f>SUMIFS(Journal!$D$4:$D$9283,Journal!$B$4:$B$9283,R$8,Journal!$C$4:$C$9283,$B29)</f>
        <v>0</v>
      </c>
      <c r="S30" s="22">
        <f>SUMIFS(Journal!$D$4:$D$9283,Journal!$B$4:$B$9283,S$8,Journal!$C$4:$C$9283,$B29)</f>
        <v>0</v>
      </c>
      <c r="T30" s="22">
        <f>SUMIFS(Journal!$D$4:$D$9283,Journal!$B$4:$B$9283,T$8,Journal!$C$4:$C$9283,$B29)</f>
        <v>0</v>
      </c>
      <c r="U30" s="76" t="str">
        <f t="shared" si="2"/>
        <v/>
      </c>
    </row>
    <row r="31" spans="1:21" ht="15" customHeight="1" x14ac:dyDescent="0.25">
      <c r="A31" s="38"/>
      <c r="B31" s="153" t="str">
        <f>Base!G12</f>
        <v>24 -</v>
      </c>
      <c r="C31" s="19" t="str">
        <f>A$5</f>
        <v>Prévu</v>
      </c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75" t="str">
        <f t="shared" si="2"/>
        <v/>
      </c>
    </row>
    <row r="32" spans="1:21" ht="15" customHeight="1" thickBot="1" x14ac:dyDescent="0.3">
      <c r="A32" s="38"/>
      <c r="B32" s="152"/>
      <c r="C32" s="21" t="str">
        <f>A$6</f>
        <v>Réalisé</v>
      </c>
      <c r="D32" s="22">
        <f>SUMIFS(Journal!$D$4:$D$9283,Journal!$B$4:$B$9283,D$8,Journal!$C$4:$C$9283,$B31)</f>
        <v>0</v>
      </c>
      <c r="E32" s="22">
        <f>SUMIFS(Journal!$D$4:$D$9283,Journal!$B$4:$B$9283,E$8,Journal!$C$4:$C$9283,$B31)</f>
        <v>0</v>
      </c>
      <c r="F32" s="22">
        <f>SUMIFS(Journal!$D$4:$D$9283,Journal!$B$4:$B$9283,F$8,Journal!$C$4:$C$9283,$B31)</f>
        <v>0</v>
      </c>
      <c r="G32" s="22">
        <f>SUMIFS(Journal!$D$4:$D$9283,Journal!$B$4:$B$9283,G$8,Journal!$C$4:$C$9283,$B31)</f>
        <v>0</v>
      </c>
      <c r="H32" s="22">
        <f>SUMIFS(Journal!$D$4:$D$9283,Journal!$B$4:$B$9283,H$8,Journal!$C$4:$C$9283,$B31)</f>
        <v>0</v>
      </c>
      <c r="I32" s="22">
        <f>SUMIFS(Journal!$D$4:$D$9283,Journal!$B$4:$B$9283,I$8,Journal!$C$4:$C$9283,$B31)</f>
        <v>0</v>
      </c>
      <c r="J32" s="22">
        <f>SUMIFS(Journal!$D$4:$D$9283,Journal!$B$4:$B$9283,J$8,Journal!$C$4:$C$9283,$B31)</f>
        <v>0</v>
      </c>
      <c r="K32" s="22">
        <f>SUMIFS(Journal!$D$4:$D$9283,Journal!$B$4:$B$9283,K$8,Journal!$C$4:$C$9283,$B31)</f>
        <v>0</v>
      </c>
      <c r="L32" s="22">
        <f>SUMIFS(Journal!$D$4:$D$9283,Journal!$B$4:$B$9283,L$8,Journal!$C$4:$C$9283,$B31)</f>
        <v>0</v>
      </c>
      <c r="M32" s="22">
        <f>SUMIFS(Journal!$D$4:$D$9283,Journal!$B$4:$B$9283,M$8,Journal!$C$4:$C$9283,$B31)</f>
        <v>0</v>
      </c>
      <c r="N32" s="22">
        <f>SUMIFS(Journal!$D$4:$D$9283,Journal!$B$4:$B$9283,N$8,Journal!$C$4:$C$9283,$B31)</f>
        <v>0</v>
      </c>
      <c r="O32" s="22">
        <f>SUMIFS(Journal!$D$4:$D$9283,Journal!$B$4:$B$9283,O$8,Journal!$C$4:$C$9283,$B31)</f>
        <v>0</v>
      </c>
      <c r="P32" s="22">
        <f>SUMIFS(Journal!$D$4:$D$9283,Journal!$B$4:$B$9283,P$8,Journal!$C$4:$C$9283,$B31)</f>
        <v>0</v>
      </c>
      <c r="Q32" s="22">
        <f>SUMIFS(Journal!$D$4:$D$9283,Journal!$B$4:$B$9283,Q$8,Journal!$C$4:$C$9283,$B31)</f>
        <v>0</v>
      </c>
      <c r="R32" s="22">
        <f>SUMIFS(Journal!$D$4:$D$9283,Journal!$B$4:$B$9283,R$8,Journal!$C$4:$C$9283,$B31)</f>
        <v>0</v>
      </c>
      <c r="S32" s="22">
        <f>SUMIFS(Journal!$D$4:$D$9283,Journal!$B$4:$B$9283,S$8,Journal!$C$4:$C$9283,$B31)</f>
        <v>0</v>
      </c>
      <c r="T32" s="22">
        <f>SUMIFS(Journal!$D$4:$D$9283,Journal!$B$4:$B$9283,T$8,Journal!$C$4:$C$9283,$B31)</f>
        <v>0</v>
      </c>
      <c r="U32" s="76" t="str">
        <f t="shared" si="2"/>
        <v/>
      </c>
    </row>
    <row r="33" spans="1:21" ht="15" customHeight="1" x14ac:dyDescent="0.25">
      <c r="A33" s="38"/>
      <c r="B33" s="153" t="str">
        <f>Base!G13</f>
        <v>25 -</v>
      </c>
      <c r="C33" s="19" t="str">
        <f>A$5</f>
        <v>Prévu</v>
      </c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75" t="str">
        <f t="shared" si="2"/>
        <v/>
      </c>
    </row>
    <row r="34" spans="1:21" ht="15" customHeight="1" thickBot="1" x14ac:dyDescent="0.3">
      <c r="A34" s="38"/>
      <c r="B34" s="152"/>
      <c r="C34" s="21" t="str">
        <f>A$6</f>
        <v>Réalisé</v>
      </c>
      <c r="D34" s="22">
        <f>SUMIFS(Journal!$D$4:$D$9283,Journal!$B$4:$B$9283,D$8,Journal!$C$4:$C$9283,$B33)</f>
        <v>0</v>
      </c>
      <c r="E34" s="22">
        <f>SUMIFS(Journal!$D$4:$D$9283,Journal!$B$4:$B$9283,E$8,Journal!$C$4:$C$9283,$B33)</f>
        <v>0</v>
      </c>
      <c r="F34" s="22">
        <f>SUMIFS(Journal!$D$4:$D$9283,Journal!$B$4:$B$9283,F$8,Journal!$C$4:$C$9283,$B33)</f>
        <v>0</v>
      </c>
      <c r="G34" s="22">
        <f>SUMIFS(Journal!$D$4:$D$9283,Journal!$B$4:$B$9283,G$8,Journal!$C$4:$C$9283,$B33)</f>
        <v>0</v>
      </c>
      <c r="H34" s="22">
        <f>SUMIFS(Journal!$D$4:$D$9283,Journal!$B$4:$B$9283,H$8,Journal!$C$4:$C$9283,$B33)</f>
        <v>0</v>
      </c>
      <c r="I34" s="22">
        <f>SUMIFS(Journal!$D$4:$D$9283,Journal!$B$4:$B$9283,I$8,Journal!$C$4:$C$9283,$B33)</f>
        <v>0</v>
      </c>
      <c r="J34" s="22">
        <f>SUMIFS(Journal!$D$4:$D$9283,Journal!$B$4:$B$9283,J$8,Journal!$C$4:$C$9283,$B33)</f>
        <v>0</v>
      </c>
      <c r="K34" s="22">
        <f>SUMIFS(Journal!$D$4:$D$9283,Journal!$B$4:$B$9283,K$8,Journal!$C$4:$C$9283,$B33)</f>
        <v>0</v>
      </c>
      <c r="L34" s="22">
        <f>SUMIFS(Journal!$D$4:$D$9283,Journal!$B$4:$B$9283,L$8,Journal!$C$4:$C$9283,$B33)</f>
        <v>0</v>
      </c>
      <c r="M34" s="22">
        <f>SUMIFS(Journal!$D$4:$D$9283,Journal!$B$4:$B$9283,M$8,Journal!$C$4:$C$9283,$B33)</f>
        <v>0</v>
      </c>
      <c r="N34" s="22">
        <f>SUMIFS(Journal!$D$4:$D$9283,Journal!$B$4:$B$9283,N$8,Journal!$C$4:$C$9283,$B33)</f>
        <v>0</v>
      </c>
      <c r="O34" s="22">
        <f>SUMIFS(Journal!$D$4:$D$9283,Journal!$B$4:$B$9283,O$8,Journal!$C$4:$C$9283,$B33)</f>
        <v>0</v>
      </c>
      <c r="P34" s="22">
        <f>SUMIFS(Journal!$D$4:$D$9283,Journal!$B$4:$B$9283,P$8,Journal!$C$4:$C$9283,$B33)</f>
        <v>0</v>
      </c>
      <c r="Q34" s="22">
        <f>SUMIFS(Journal!$D$4:$D$9283,Journal!$B$4:$B$9283,Q$8,Journal!$C$4:$C$9283,$B33)</f>
        <v>0</v>
      </c>
      <c r="R34" s="22">
        <f>SUMIFS(Journal!$D$4:$D$9283,Journal!$B$4:$B$9283,R$8,Journal!$C$4:$C$9283,$B33)</f>
        <v>0</v>
      </c>
      <c r="S34" s="22">
        <f>SUMIFS(Journal!$D$4:$D$9283,Journal!$B$4:$B$9283,S$8,Journal!$C$4:$C$9283,$B33)</f>
        <v>0</v>
      </c>
      <c r="T34" s="22">
        <f>SUMIFS(Journal!$D$4:$D$9283,Journal!$B$4:$B$9283,T$8,Journal!$C$4:$C$9283,$B33)</f>
        <v>0</v>
      </c>
      <c r="U34" s="76" t="str">
        <f t="shared" si="2"/>
        <v/>
      </c>
    </row>
    <row r="35" spans="1:21" ht="15" customHeight="1" x14ac:dyDescent="0.25">
      <c r="A35" s="38"/>
      <c r="B35" s="153" t="str">
        <f>Base!G14</f>
        <v>26 -</v>
      </c>
      <c r="C35" s="19" t="str">
        <f>A$5</f>
        <v>Prévu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75" t="str">
        <f t="shared" si="2"/>
        <v/>
      </c>
    </row>
    <row r="36" spans="1:21" ht="15" customHeight="1" thickBot="1" x14ac:dyDescent="0.3">
      <c r="A36" s="38"/>
      <c r="B36" s="154"/>
      <c r="C36" s="21" t="str">
        <f>A$6</f>
        <v>Réalisé</v>
      </c>
      <c r="D36" s="22">
        <f>SUMIFS(Journal!$D$4:$D$9283,Journal!$B$4:$B$9283,D$8,Journal!$C$4:$C$9283,$B35)</f>
        <v>0</v>
      </c>
      <c r="E36" s="22">
        <f>SUMIFS(Journal!$D$4:$D$9283,Journal!$B$4:$B$9283,E$8,Journal!$C$4:$C$9283,$B35)</f>
        <v>0</v>
      </c>
      <c r="F36" s="22">
        <f>SUMIFS(Journal!$D$4:$D$9283,Journal!$B$4:$B$9283,F$8,Journal!$C$4:$C$9283,$B35)</f>
        <v>0</v>
      </c>
      <c r="G36" s="22">
        <f>SUMIFS(Journal!$D$4:$D$9283,Journal!$B$4:$B$9283,G$8,Journal!$C$4:$C$9283,$B35)</f>
        <v>0</v>
      </c>
      <c r="H36" s="22">
        <f>SUMIFS(Journal!$D$4:$D$9283,Journal!$B$4:$B$9283,H$8,Journal!$C$4:$C$9283,$B35)</f>
        <v>0</v>
      </c>
      <c r="I36" s="22">
        <f>SUMIFS(Journal!$D$4:$D$9283,Journal!$B$4:$B$9283,I$8,Journal!$C$4:$C$9283,$B35)</f>
        <v>0</v>
      </c>
      <c r="J36" s="22">
        <f>SUMIFS(Journal!$D$4:$D$9283,Journal!$B$4:$B$9283,J$8,Journal!$C$4:$C$9283,$B35)</f>
        <v>0</v>
      </c>
      <c r="K36" s="22">
        <f>SUMIFS(Journal!$D$4:$D$9283,Journal!$B$4:$B$9283,K$8,Journal!$C$4:$C$9283,$B35)</f>
        <v>0</v>
      </c>
      <c r="L36" s="22">
        <f>SUMIFS(Journal!$D$4:$D$9283,Journal!$B$4:$B$9283,L$8,Journal!$C$4:$C$9283,$B35)</f>
        <v>0</v>
      </c>
      <c r="M36" s="22">
        <f>SUMIFS(Journal!$D$4:$D$9283,Journal!$B$4:$B$9283,M$8,Journal!$C$4:$C$9283,$B35)</f>
        <v>0</v>
      </c>
      <c r="N36" s="22">
        <f>SUMIFS(Journal!$D$4:$D$9283,Journal!$B$4:$B$9283,N$8,Journal!$C$4:$C$9283,$B35)</f>
        <v>0</v>
      </c>
      <c r="O36" s="22">
        <f>SUMIFS(Journal!$D$4:$D$9283,Journal!$B$4:$B$9283,O$8,Journal!$C$4:$C$9283,$B35)</f>
        <v>0</v>
      </c>
      <c r="P36" s="22">
        <f>SUMIFS(Journal!$D$4:$D$9283,Journal!$B$4:$B$9283,P$8,Journal!$C$4:$C$9283,$B35)</f>
        <v>0</v>
      </c>
      <c r="Q36" s="22">
        <f>SUMIFS(Journal!$D$4:$D$9283,Journal!$B$4:$B$9283,Q$8,Journal!$C$4:$C$9283,$B35)</f>
        <v>0</v>
      </c>
      <c r="R36" s="22">
        <f>SUMIFS(Journal!$D$4:$D$9283,Journal!$B$4:$B$9283,R$8,Journal!$C$4:$C$9283,$B35)</f>
        <v>0</v>
      </c>
      <c r="S36" s="22">
        <f>SUMIFS(Journal!$D$4:$D$9283,Journal!$B$4:$B$9283,S$8,Journal!$C$4:$C$9283,$B35)</f>
        <v>0</v>
      </c>
      <c r="T36" s="22">
        <f>SUMIFS(Journal!$D$4:$D$9283,Journal!$B$4:$B$9283,T$8,Journal!$C$4:$C$9283,$B35)</f>
        <v>0</v>
      </c>
      <c r="U36" s="76" t="str">
        <f t="shared" si="2"/>
        <v/>
      </c>
    </row>
    <row r="37" spans="1:21" ht="20.25" customHeight="1" x14ac:dyDescent="0.25">
      <c r="A37" s="71" t="str">
        <f>Base!F15</f>
        <v>3 Implémentation</v>
      </c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17">
        <f>SUMIF($C41:$C58,$C41,U41:U58)</f>
        <v>0.65277777777777779</v>
      </c>
    </row>
    <row r="38" spans="1:21" ht="15" customHeight="1" thickBot="1" x14ac:dyDescent="0.3">
      <c r="A38" s="73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18">
        <f>SUMIF($C41:$C58,$C42,U41:U58)</f>
        <v>0</v>
      </c>
    </row>
    <row r="39" spans="1:21" ht="15" customHeight="1" x14ac:dyDescent="0.25">
      <c r="A39" s="38"/>
      <c r="B39" s="42" t="str">
        <f>Base!G15</f>
        <v>30 Base du projet C# (classe … )</v>
      </c>
      <c r="C39" s="19" t="str">
        <f>A$5</f>
        <v>Prévu</v>
      </c>
      <c r="D39" s="33"/>
      <c r="E39" s="33"/>
      <c r="F39" s="33">
        <v>0.125</v>
      </c>
      <c r="G39" s="33"/>
      <c r="H39" s="33">
        <v>2.0833333333333332E-2</v>
      </c>
      <c r="I39" s="33"/>
      <c r="J39" s="33"/>
      <c r="K39" s="33"/>
      <c r="L39" s="33"/>
      <c r="M39" s="33"/>
      <c r="N39" s="33">
        <v>2.7777777777777776E-2</v>
      </c>
      <c r="O39" s="33"/>
      <c r="P39" s="33">
        <v>8.3333333333333329E-2</v>
      </c>
      <c r="Q39" s="33"/>
      <c r="R39" s="33"/>
      <c r="S39" s="33"/>
      <c r="T39" s="33"/>
      <c r="U39" s="20">
        <f>IF(SUM(E39:T39)=0,"",SUM(E39:T39))</f>
        <v>0.25694444444444442</v>
      </c>
    </row>
    <row r="40" spans="1:21" ht="15" customHeight="1" thickBot="1" x14ac:dyDescent="0.3">
      <c r="A40" s="38"/>
      <c r="B40" s="28"/>
      <c r="C40" s="21" t="str">
        <f>A$6</f>
        <v>Réalisé</v>
      </c>
      <c r="D40" s="22">
        <f>SUMIFS(Journal!$D$4:$D$9283,Journal!$B$4:$B$9283,D$8,Journal!$C$4:$C$9283,$B39)</f>
        <v>0</v>
      </c>
      <c r="E40" s="22"/>
      <c r="F40" s="22">
        <f>SUMIFS(Journal!$D$4:$D$9283,Journal!$B$4:$B$9283,F$8,Journal!$C$4:$C$9283,$B39)</f>
        <v>0</v>
      </c>
      <c r="G40" s="22"/>
      <c r="H40" s="22">
        <f>SUMIFS(Journal!$D$4:$D$9283,Journal!$B$4:$B$9283,H$8,Journal!$C$4:$C$9283,$B39)</f>
        <v>0</v>
      </c>
      <c r="I40" s="22"/>
      <c r="J40" s="22">
        <f>SUMIFS(Journal!$D$4:$D$9283,Journal!$B$4:$B$9283,J$8,Journal!$C$4:$C$9283,$B39)</f>
        <v>0</v>
      </c>
      <c r="K40" s="22"/>
      <c r="L40" s="22">
        <f>SUMIFS(Journal!$D$4:$D$9283,Journal!$B$4:$B$9283,L$8,Journal!$C$4:$C$9283,$B39)</f>
        <v>0</v>
      </c>
      <c r="M40" s="22"/>
      <c r="N40" s="22">
        <f>SUMIFS(Journal!$D$4:$D$9283,Journal!$B$4:$B$9283,N$8,Journal!$C$4:$C$9283,$B39)</f>
        <v>0</v>
      </c>
      <c r="O40" s="22"/>
      <c r="P40" s="22">
        <f>SUMIFS(Journal!$D$4:$D$9283,Journal!$B$4:$B$9283,P$8,Journal!$C$4:$C$9283,$B39)</f>
        <v>0</v>
      </c>
      <c r="Q40" s="22"/>
      <c r="R40" s="22">
        <f>SUMIFS(Journal!$D$4:$D$9283,Journal!$B$4:$B$9283,R$8,Journal!$C$4:$C$9283,$B39)</f>
        <v>0</v>
      </c>
      <c r="S40" s="22"/>
      <c r="T40" s="22">
        <f>SUMIFS(Journal!$D$4:$D$9283,Journal!$B$4:$B$9283,T$8,Journal!$C$4:$C$9283,$B39)</f>
        <v>0</v>
      </c>
      <c r="U40" s="25" t="str">
        <f>IF(SUM(D40:T40)=0,"",SUM(D40:T40))</f>
        <v/>
      </c>
    </row>
    <row r="41" spans="1:21" ht="15" customHeight="1" x14ac:dyDescent="0.25">
      <c r="A41" s="38"/>
      <c r="B41" s="42" t="str">
        <f>Base!G16</f>
        <v>31 Script création BDD</v>
      </c>
      <c r="C41" s="19" t="str">
        <f>A$5</f>
        <v>Prévu</v>
      </c>
      <c r="D41" s="33"/>
      <c r="E41" s="33"/>
      <c r="F41" s="33">
        <v>1.3888888888888888E-2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>
        <v>1.3888888888888888E-2</v>
      </c>
      <c r="S41" s="33"/>
      <c r="T41" s="33"/>
      <c r="U41" s="20">
        <f>IF(SUM(E41:T41)=0,"",SUM(E41:T41))</f>
        <v>2.7777777777777776E-2</v>
      </c>
    </row>
    <row r="42" spans="1:21" ht="15" customHeight="1" thickBot="1" x14ac:dyDescent="0.3">
      <c r="A42" s="38"/>
      <c r="B42" s="28"/>
      <c r="C42" s="21" t="str">
        <f>A$6</f>
        <v>Réalisé</v>
      </c>
      <c r="D42" s="22">
        <f>SUMIFS(Journal!$D$4:$D$9283,Journal!$B$4:$B$9283,D$8,Journal!$C$4:$C$9283,$B41)</f>
        <v>0</v>
      </c>
      <c r="E42" s="22"/>
      <c r="F42" s="22">
        <f>SUMIFS(Journal!$D$4:$D$9283,Journal!$B$4:$B$9283,F$8,Journal!$C$4:$C$9283,$B41)</f>
        <v>0</v>
      </c>
      <c r="G42" s="22"/>
      <c r="H42" s="22">
        <f>SUMIFS(Journal!$D$4:$D$9283,Journal!$B$4:$B$9283,H$8,Journal!$C$4:$C$9283,$B41)</f>
        <v>0</v>
      </c>
      <c r="I42" s="22"/>
      <c r="J42" s="22">
        <f>SUMIFS(Journal!$D$4:$D$9283,Journal!$B$4:$B$9283,J$8,Journal!$C$4:$C$9283,$B41)</f>
        <v>0</v>
      </c>
      <c r="K42" s="22"/>
      <c r="L42" s="22">
        <f>SUMIFS(Journal!$D$4:$D$9283,Journal!$B$4:$B$9283,L$8,Journal!$C$4:$C$9283,$B41)</f>
        <v>0</v>
      </c>
      <c r="M42" s="22"/>
      <c r="N42" s="22">
        <f>SUMIFS(Journal!$D$4:$D$9283,Journal!$B$4:$B$9283,N$8,Journal!$C$4:$C$9283,$B41)</f>
        <v>0</v>
      </c>
      <c r="O42" s="22"/>
      <c r="P42" s="22">
        <f>SUMIFS(Journal!$D$4:$D$9283,Journal!$B$4:$B$9283,P$8,Journal!$C$4:$C$9283,$B41)</f>
        <v>0</v>
      </c>
      <c r="Q42" s="22"/>
      <c r="R42" s="22">
        <f>SUMIFS(Journal!$D$4:$D$9283,Journal!$B$4:$B$9283,R$8,Journal!$C$4:$C$9283,$B41)</f>
        <v>0</v>
      </c>
      <c r="S42" s="22"/>
      <c r="T42" s="22">
        <f>SUMIFS(Journal!$D$4:$D$9283,Journal!$B$4:$B$9283,T$8,Journal!$C$4:$C$9283,$B41)</f>
        <v>0</v>
      </c>
      <c r="U42" s="25" t="str">
        <f>IF(SUM(D42:T42)=0,"",SUM(D42:T42))</f>
        <v/>
      </c>
    </row>
    <row r="43" spans="1:21" ht="15" customHeight="1" x14ac:dyDescent="0.25">
      <c r="A43" s="38"/>
      <c r="B43" s="42" t="str">
        <f>Base!G17</f>
        <v>32 Script insertion données</v>
      </c>
      <c r="C43" s="19" t="str">
        <f>A$5</f>
        <v>Prévu</v>
      </c>
      <c r="D43" s="33"/>
      <c r="E43" s="33"/>
      <c r="F43" s="33"/>
      <c r="G43" s="33"/>
      <c r="H43" s="33">
        <v>4.1666666666666664E-2</v>
      </c>
      <c r="I43" s="33"/>
      <c r="J43" s="33"/>
      <c r="K43" s="33"/>
      <c r="L43" s="33"/>
      <c r="M43" s="33"/>
      <c r="N43" s="33"/>
      <c r="O43" s="33"/>
      <c r="P43" s="33"/>
      <c r="Q43" s="33"/>
      <c r="R43" s="33">
        <v>1.3888888888888888E-2</v>
      </c>
      <c r="S43" s="33"/>
      <c r="T43" s="33"/>
      <c r="U43" s="20">
        <f>IF(SUM(E43:T43)=0,"",SUM(E43:T43))</f>
        <v>5.5555555555555552E-2</v>
      </c>
    </row>
    <row r="44" spans="1:21" ht="15" customHeight="1" thickBot="1" x14ac:dyDescent="0.3">
      <c r="A44" s="38"/>
      <c r="B44" s="28"/>
      <c r="C44" s="21" t="str">
        <f>A$6</f>
        <v>Réalisé</v>
      </c>
      <c r="D44" s="22">
        <f>SUMIFS(Journal!$D$4:$D$9283,Journal!$B$4:$B$9283,D$8,Journal!$C$4:$C$9283,$B43)</f>
        <v>0</v>
      </c>
      <c r="E44" s="22"/>
      <c r="F44" s="22">
        <f>SUMIFS(Journal!$D$4:$D$9283,Journal!$B$4:$B$9283,F$8,Journal!$C$4:$C$9283,$B43)</f>
        <v>0</v>
      </c>
      <c r="G44" s="22"/>
      <c r="H44" s="22">
        <f>SUMIFS(Journal!$D$4:$D$9283,Journal!$B$4:$B$9283,H$8,Journal!$C$4:$C$9283,$B43)</f>
        <v>0</v>
      </c>
      <c r="I44" s="22"/>
      <c r="J44" s="22">
        <f>SUMIFS(Journal!$D$4:$D$9283,Journal!$B$4:$B$9283,J$8,Journal!$C$4:$C$9283,$B43)</f>
        <v>0</v>
      </c>
      <c r="K44" s="22"/>
      <c r="L44" s="22"/>
      <c r="M44" s="22"/>
      <c r="N44" s="22">
        <f>SUMIFS(Journal!$D$4:$D$9283,Journal!$B$4:$B$9283,N$8,Journal!$C$4:$C$9283,$B43)</f>
        <v>0</v>
      </c>
      <c r="O44" s="22"/>
      <c r="P44" s="22">
        <f>SUMIFS(Journal!$D$4:$D$9283,Journal!$B$4:$B$9283,P$8,Journal!$C$4:$C$9283,$B43)</f>
        <v>0</v>
      </c>
      <c r="Q44" s="22"/>
      <c r="R44" s="22">
        <f>SUMIFS(Journal!$D$4:$D$9283,Journal!$B$4:$B$9283,R$8,Journal!$C$4:$C$9283,$B43)</f>
        <v>0</v>
      </c>
      <c r="S44" s="22"/>
      <c r="T44" s="22">
        <f>SUMIFS(Journal!$D$4:$D$9283,Journal!$B$4:$B$9283,T$8,Journal!$C$4:$C$9283,$B43)</f>
        <v>0</v>
      </c>
      <c r="U44" s="25" t="str">
        <f t="shared" ref="U44:U58" si="3">IF(SUM(D44:T44)=0,"",SUM(D44:T44))</f>
        <v/>
      </c>
    </row>
    <row r="45" spans="1:21" ht="15" customHeight="1" x14ac:dyDescent="0.25">
      <c r="A45" s="38"/>
      <c r="B45" s="42" t="str">
        <f>Base!G18</f>
        <v>33  Connection à la BDD</v>
      </c>
      <c r="C45" s="19" t="str">
        <f>A$5</f>
        <v>Prévu</v>
      </c>
      <c r="D45" s="33"/>
      <c r="E45" s="33"/>
      <c r="F45" s="33">
        <v>2.7777777777777776E-2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20">
        <f t="shared" si="3"/>
        <v>2.7777777777777776E-2</v>
      </c>
    </row>
    <row r="46" spans="1:21" ht="15" customHeight="1" thickBot="1" x14ac:dyDescent="0.3">
      <c r="A46" s="38"/>
      <c r="B46" s="28"/>
      <c r="C46" s="21" t="str">
        <f>A$6</f>
        <v>Réalisé</v>
      </c>
      <c r="D46" s="22">
        <f>SUMIFS(Journal!$D$4:$D$9283,Journal!$B$4:$B$9283,D$8,Journal!$C$4:$C$9283,$B45)</f>
        <v>0</v>
      </c>
      <c r="E46" s="22"/>
      <c r="F46" s="22">
        <f>SUMIFS(Journal!$D$4:$D$9283,Journal!$B$4:$B$9283,F$8,Journal!$C$4:$C$9283,$B45)</f>
        <v>0</v>
      </c>
      <c r="G46" s="22"/>
      <c r="H46" s="22">
        <f>SUMIFS(Journal!$D$4:$D$9283,Journal!$B$4:$B$9283,H$8,Journal!$C$4:$C$9283,$B45)</f>
        <v>0</v>
      </c>
      <c r="I46" s="22"/>
      <c r="J46" s="22">
        <f>SUMIFS(Journal!$D$4:$D$9283,Journal!$B$4:$B$9283,J$8,Journal!$C$4:$C$9283,$B45)</f>
        <v>0</v>
      </c>
      <c r="K46" s="22"/>
      <c r="L46" s="22"/>
      <c r="M46" s="22"/>
      <c r="N46" s="22"/>
      <c r="O46" s="22"/>
      <c r="P46" s="22">
        <f>SUMIFS(Journal!$D$4:$D$9283,Journal!$B$4:$B$9283,P$8,Journal!$C$4:$C$9283,$B45)</f>
        <v>0</v>
      </c>
      <c r="Q46" s="22"/>
      <c r="R46" s="22">
        <f>SUMIFS(Journal!$D$4:$D$9283,Journal!$B$4:$B$9283,R$8,Journal!$C$4:$C$9283,$B45)</f>
        <v>0</v>
      </c>
      <c r="S46" s="22"/>
      <c r="T46" s="22">
        <f>SUMIFS(Journal!$D$4:$D$9283,Journal!$B$4:$B$9283,T$8,Journal!$C$4:$C$9283,$B45)</f>
        <v>0</v>
      </c>
      <c r="U46" s="25" t="str">
        <f t="shared" si="3"/>
        <v/>
      </c>
    </row>
    <row r="47" spans="1:21" ht="15" customHeight="1" x14ac:dyDescent="0.25">
      <c r="A47" s="38"/>
      <c r="B47" s="42" t="str">
        <f>Base!G19</f>
        <v>34  Ajout au stock</v>
      </c>
      <c r="C47" s="19" t="str">
        <f>A$5</f>
        <v>Prévu</v>
      </c>
      <c r="D47" s="33"/>
      <c r="E47" s="33"/>
      <c r="F47" s="33"/>
      <c r="G47" s="33"/>
      <c r="H47" s="33">
        <v>8.3333333333333329E-2</v>
      </c>
      <c r="I47" s="33"/>
      <c r="J47" s="33"/>
      <c r="K47" s="33"/>
      <c r="L47" s="33"/>
      <c r="M47" s="33"/>
      <c r="N47" s="33">
        <v>4.1666666666666664E-2</v>
      </c>
      <c r="O47" s="33"/>
      <c r="P47" s="33"/>
      <c r="Q47" s="33"/>
      <c r="R47" s="33"/>
      <c r="S47" s="33"/>
      <c r="T47" s="33"/>
      <c r="U47" s="20">
        <f t="shared" si="3"/>
        <v>0.125</v>
      </c>
    </row>
    <row r="48" spans="1:21" ht="15" customHeight="1" thickBot="1" x14ac:dyDescent="0.3">
      <c r="A48" s="38"/>
      <c r="B48" s="28"/>
      <c r="C48" s="21" t="str">
        <f>A$6</f>
        <v>Réalisé</v>
      </c>
      <c r="D48" s="22">
        <f>SUMIFS(Journal!$D$4:$D$9283,Journal!$B$4:$B$9283,D$8,Journal!$C$4:$C$9283,$B47)</f>
        <v>0</v>
      </c>
      <c r="E48" s="22"/>
      <c r="F48" s="22">
        <f>SUMIFS(Journal!$D$4:$D$9283,Journal!$B$4:$B$9283,F$8,Journal!$C$4:$C$9283,$B47)</f>
        <v>0</v>
      </c>
      <c r="G48" s="22"/>
      <c r="H48" s="22">
        <f>SUMIFS(Journal!$D$4:$D$9283,Journal!$B$4:$B$9283,H$8,Journal!$C$4:$C$9283,$B47)</f>
        <v>0</v>
      </c>
      <c r="I48" s="22"/>
      <c r="J48" s="22">
        <f>SUMIFS(Journal!$D$4:$D$9283,Journal!$B$4:$B$9283,J$8,Journal!$C$4:$C$9283,$B47)</f>
        <v>0</v>
      </c>
      <c r="K48" s="22"/>
      <c r="L48" s="22">
        <f>SUMIFS(Journal!$D$4:$D$9283,Journal!$B$4:$B$9283,L$8,Journal!$C$4:$C$9283,$B47)</f>
        <v>0</v>
      </c>
      <c r="M48" s="22"/>
      <c r="N48" s="22">
        <f>SUMIFS(Journal!$D$4:$D$9283,Journal!$B$4:$B$9283,N$8,Journal!$C$4:$C$9283,$B47)</f>
        <v>0</v>
      </c>
      <c r="O48" s="22"/>
      <c r="P48" s="22">
        <f>SUMIFS(Journal!$D$4:$D$9283,Journal!$B$4:$B$9283,P$8,Journal!$C$4:$C$9283,$B47)</f>
        <v>0</v>
      </c>
      <c r="Q48" s="22"/>
      <c r="R48" s="22">
        <f>SUMIFS(Journal!$D$4:$D$9283,Journal!$B$4:$B$9283,R$8,Journal!$C$4:$C$9283,$B47)</f>
        <v>0</v>
      </c>
      <c r="S48" s="22"/>
      <c r="T48" s="22">
        <f>SUMIFS(Journal!$D$4:$D$9283,Journal!$B$4:$B$9283,T$8,Journal!$C$4:$C$9283,$B47)</f>
        <v>0</v>
      </c>
      <c r="U48" s="25" t="str">
        <f t="shared" si="3"/>
        <v/>
      </c>
    </row>
    <row r="49" spans="1:21" ht="15" customHeight="1" x14ac:dyDescent="0.25">
      <c r="A49" s="38"/>
      <c r="B49" s="42" t="str">
        <f>Base!G20</f>
        <v>35  Retrait du stock</v>
      </c>
      <c r="C49" s="19" t="str">
        <f>A$5</f>
        <v>Prévu</v>
      </c>
      <c r="D49" s="33"/>
      <c r="E49" s="33"/>
      <c r="F49" s="33"/>
      <c r="G49" s="33"/>
      <c r="H49" s="33">
        <v>8.3333333333333329E-2</v>
      </c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20">
        <f t="shared" si="3"/>
        <v>8.3333333333333329E-2</v>
      </c>
    </row>
    <row r="50" spans="1:21" ht="15" customHeight="1" thickBot="1" x14ac:dyDescent="0.3">
      <c r="A50" s="38"/>
      <c r="B50" s="28"/>
      <c r="C50" s="21" t="str">
        <f>A$6</f>
        <v>Réalisé</v>
      </c>
      <c r="D50" s="22">
        <f>SUMIFS(Journal!$D$4:$D$9283,Journal!$B$4:$B$9283,D$8,Journal!$C$4:$C$9283,$B49)</f>
        <v>0</v>
      </c>
      <c r="E50" s="22">
        <f>SUMIFS(Journal!$D$4:$D$9283,Journal!$B$4:$B$9283,E$8,Journal!$C$4:$C$9283,$B49)</f>
        <v>0</v>
      </c>
      <c r="F50" s="22">
        <f>SUMIFS(Journal!$D$4:$D$9283,Journal!$B$4:$B$9283,F$8,Journal!$C$4:$C$9283,$B49)</f>
        <v>0</v>
      </c>
      <c r="G50" s="22">
        <f>SUMIFS(Journal!$D$4:$D$9283,Journal!$B$4:$B$9283,G$8,Journal!$C$4:$C$9283,$B49)</f>
        <v>0</v>
      </c>
      <c r="H50" s="22">
        <f>SUMIFS(Journal!$D$4:$D$9283,Journal!$B$4:$B$9283,H$8,Journal!$C$4:$C$9283,$B49)</f>
        <v>0</v>
      </c>
      <c r="I50" s="22">
        <f>SUMIFS(Journal!$D$4:$D$9283,Journal!$B$4:$B$9283,I$8,Journal!$C$4:$C$9283,$B49)</f>
        <v>0</v>
      </c>
      <c r="J50" s="22">
        <f>SUMIFS(Journal!$D$4:$D$9283,Journal!$B$4:$B$9283,J$8,Journal!$C$4:$C$9283,$B49)</f>
        <v>0</v>
      </c>
      <c r="K50" s="22">
        <f>SUMIFS(Journal!$D$4:$D$9283,Journal!$B$4:$B$9283,K$8,Journal!$C$4:$C$9283,$B49)</f>
        <v>0</v>
      </c>
      <c r="L50" s="22">
        <f>SUMIFS(Journal!$D$4:$D$9283,Journal!$B$4:$B$9283,L$8,Journal!$C$4:$C$9283,$B49)</f>
        <v>0</v>
      </c>
      <c r="M50" s="22">
        <f>SUMIFS(Journal!$D$4:$D$9283,Journal!$B$4:$B$9283,M$8,Journal!$C$4:$C$9283,$B49)</f>
        <v>0</v>
      </c>
      <c r="N50" s="22">
        <f>SUMIFS(Journal!$D$4:$D$9283,Journal!$B$4:$B$9283,N$8,Journal!$C$4:$C$9283,$B49)</f>
        <v>0</v>
      </c>
      <c r="O50" s="22">
        <f>SUMIFS(Journal!$D$4:$D$9283,Journal!$B$4:$B$9283,O$8,Journal!$C$4:$C$9283,$B49)</f>
        <v>0</v>
      </c>
      <c r="P50" s="22">
        <f>SUMIFS(Journal!$D$4:$D$9283,Journal!$B$4:$B$9283,P$8,Journal!$C$4:$C$9283,$B49)</f>
        <v>0</v>
      </c>
      <c r="Q50" s="22">
        <f>SUMIFS(Journal!$D$4:$D$9283,Journal!$B$4:$B$9283,Q$8,Journal!$C$4:$C$9283,$B49)</f>
        <v>0</v>
      </c>
      <c r="R50" s="22">
        <f>SUMIFS(Journal!$D$4:$D$9283,Journal!$B$4:$B$9283,R$8,Journal!$C$4:$C$9283,$B49)</f>
        <v>0</v>
      </c>
      <c r="S50" s="22">
        <f>SUMIFS(Journal!$D$4:$D$9283,Journal!$B$4:$B$9283,S$8,Journal!$C$4:$C$9283,$B49)</f>
        <v>0</v>
      </c>
      <c r="T50" s="22">
        <f>SUMIFS(Journal!$D$4:$D$9283,Journal!$B$4:$B$9283,T$8,Journal!$C$4:$C$9283,$B49)</f>
        <v>0</v>
      </c>
      <c r="U50" s="25" t="str">
        <f t="shared" si="3"/>
        <v/>
      </c>
    </row>
    <row r="51" spans="1:21" ht="15" customHeight="1" x14ac:dyDescent="0.25">
      <c r="A51" s="38"/>
      <c r="B51" s="42" t="str">
        <f>Base!G21</f>
        <v>36 Génération de pdf</v>
      </c>
      <c r="C51" s="19" t="str">
        <f>A$5</f>
        <v>Prévu</v>
      </c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>
        <v>8.3333333333333329E-2</v>
      </c>
      <c r="O51" s="33"/>
      <c r="P51" s="33"/>
      <c r="Q51" s="33"/>
      <c r="R51" s="33"/>
      <c r="S51" s="33"/>
      <c r="T51" s="33"/>
      <c r="U51" s="20">
        <f t="shared" ref="U51:U53" si="4">IF(SUM(D51:T51)=0,"",SUM(D51:T51))</f>
        <v>8.3333333333333329E-2</v>
      </c>
    </row>
    <row r="52" spans="1:21" ht="15" customHeight="1" thickBot="1" x14ac:dyDescent="0.3">
      <c r="A52" s="38"/>
      <c r="B52" s="28"/>
      <c r="C52" s="21" t="str">
        <f>A$6</f>
        <v>Réalisé</v>
      </c>
      <c r="D52" s="22">
        <f>SUMIFS(Journal!$D$4:$D$9283,Journal!$B$4:$B$9283,D$8,Journal!$C$4:$C$9283,$B51)</f>
        <v>0</v>
      </c>
      <c r="E52" s="22">
        <f>SUMIFS(Journal!$D$4:$D$9283,Journal!$B$4:$B$9283,E$8,Journal!$C$4:$C$9283,$B51)</f>
        <v>0</v>
      </c>
      <c r="F52" s="22">
        <f>SUMIFS(Journal!$D$4:$D$9283,Journal!$B$4:$B$9283,F$8,Journal!$C$4:$C$9283,$B51)</f>
        <v>0</v>
      </c>
      <c r="G52" s="22">
        <f>SUMIFS(Journal!$D$4:$D$9283,Journal!$B$4:$B$9283,G$8,Journal!$C$4:$C$9283,$B51)</f>
        <v>0</v>
      </c>
      <c r="H52" s="22">
        <f>SUMIFS(Journal!$D$4:$D$9283,Journal!$B$4:$B$9283,H$8,Journal!$C$4:$C$9283,$B51)</f>
        <v>0</v>
      </c>
      <c r="I52" s="22">
        <f>SUMIFS(Journal!$D$4:$D$9283,Journal!$B$4:$B$9283,I$8,Journal!$C$4:$C$9283,$B51)</f>
        <v>0</v>
      </c>
      <c r="J52" s="22">
        <f>SUMIFS(Journal!$D$4:$D$9283,Journal!$B$4:$B$9283,J$8,Journal!$C$4:$C$9283,$B51)</f>
        <v>0</v>
      </c>
      <c r="K52" s="22">
        <f>SUMIFS(Journal!$D$4:$D$9283,Journal!$B$4:$B$9283,K$8,Journal!$C$4:$C$9283,$B51)</f>
        <v>0</v>
      </c>
      <c r="L52" s="22">
        <f>SUMIFS(Journal!$D$4:$D$9283,Journal!$B$4:$B$9283,L$8,Journal!$C$4:$C$9283,$B51)</f>
        <v>0</v>
      </c>
      <c r="M52" s="22">
        <f>SUMIFS(Journal!$D$4:$D$9283,Journal!$B$4:$B$9283,M$8,Journal!$C$4:$C$9283,$B51)</f>
        <v>0</v>
      </c>
      <c r="N52" s="22">
        <f>SUMIFS(Journal!$D$4:$D$9283,Journal!$B$4:$B$9283,N$8,Journal!$C$4:$C$9283,$B51)</f>
        <v>0</v>
      </c>
      <c r="O52" s="22">
        <f>SUMIFS(Journal!$D$4:$D$9283,Journal!$B$4:$B$9283,O$8,Journal!$C$4:$C$9283,$B51)</f>
        <v>0</v>
      </c>
      <c r="P52" s="22">
        <f>SUMIFS(Journal!$D$4:$D$9283,Journal!$B$4:$B$9283,P$8,Journal!$C$4:$C$9283,$B51)</f>
        <v>0</v>
      </c>
      <c r="Q52" s="22">
        <f>SUMIFS(Journal!$D$4:$D$9283,Journal!$B$4:$B$9283,Q$8,Journal!$C$4:$C$9283,$B51)</f>
        <v>0</v>
      </c>
      <c r="R52" s="22">
        <f>SUMIFS(Journal!$D$4:$D$9283,Journal!$B$4:$B$9283,R$8,Journal!$C$4:$C$9283,$B51)</f>
        <v>0</v>
      </c>
      <c r="S52" s="22">
        <f>SUMIFS(Journal!$D$4:$D$9283,Journal!$B$4:$B$9283,S$8,Journal!$C$4:$C$9283,$B51)</f>
        <v>0</v>
      </c>
      <c r="T52" s="22">
        <f>SUMIFS(Journal!$D$4:$D$9283,Journal!$B$4:$B$9283,T$8,Journal!$C$4:$C$9283,$B51)</f>
        <v>0</v>
      </c>
      <c r="U52" s="25" t="str">
        <f t="shared" si="4"/>
        <v/>
      </c>
    </row>
    <row r="53" spans="1:21" ht="15" customHeight="1" x14ac:dyDescent="0.25">
      <c r="A53" s="38"/>
      <c r="B53" s="42" t="str">
        <f>Base!G22</f>
        <v>37 Fonction recherche : mot-clé</v>
      </c>
      <c r="C53" s="19" t="str">
        <f>A$5</f>
        <v>Prévu</v>
      </c>
      <c r="D53" s="33"/>
      <c r="E53" s="33"/>
      <c r="F53" s="33"/>
      <c r="G53" s="33"/>
      <c r="H53" s="33"/>
      <c r="I53" s="33"/>
      <c r="J53" s="33"/>
      <c r="K53" s="33"/>
      <c r="L53" s="33">
        <v>8.3333333333333329E-2</v>
      </c>
      <c r="M53" s="33"/>
      <c r="N53" s="33"/>
      <c r="O53" s="33"/>
      <c r="P53" s="33"/>
      <c r="Q53" s="33"/>
      <c r="R53" s="33"/>
      <c r="S53" s="33"/>
      <c r="T53" s="33"/>
      <c r="U53" s="20">
        <f t="shared" si="4"/>
        <v>8.3333333333333329E-2</v>
      </c>
    </row>
    <row r="54" spans="1:21" ht="15" customHeight="1" thickBot="1" x14ac:dyDescent="0.3">
      <c r="A54" s="38"/>
      <c r="B54" s="28"/>
      <c r="C54" s="21" t="str">
        <f>A$6</f>
        <v>Réalisé</v>
      </c>
      <c r="D54" s="22">
        <f>SUMIFS(Journal!$D$4:$D$9283,Journal!$B$4:$B$9283,D$8,Journal!$C$4:$C$9283,$B53)</f>
        <v>0</v>
      </c>
      <c r="E54" s="22">
        <f>SUMIFS(Journal!$D$4:$D$9283,Journal!$B$4:$B$9283,E$8,Journal!$C$4:$C$9283,$B53)</f>
        <v>0</v>
      </c>
      <c r="F54" s="22">
        <f>SUMIFS(Journal!$D$4:$D$9283,Journal!$B$4:$B$9283,F$8,Journal!$C$4:$C$9283,$B53)</f>
        <v>0</v>
      </c>
      <c r="G54" s="22">
        <f>SUMIFS(Journal!$D$4:$D$9283,Journal!$B$4:$B$9283,G$8,Journal!$C$4:$C$9283,$B53)</f>
        <v>0</v>
      </c>
      <c r="H54" s="22">
        <f>SUMIFS(Journal!$D$4:$D$9283,Journal!$B$4:$B$9283,H$8,Journal!$C$4:$C$9283,$B53)</f>
        <v>0</v>
      </c>
      <c r="I54" s="22">
        <f>SUMIFS(Journal!$D$4:$D$9283,Journal!$B$4:$B$9283,I$8,Journal!$C$4:$C$9283,$B53)</f>
        <v>0</v>
      </c>
      <c r="J54" s="22">
        <f>SUMIFS(Journal!$D$4:$D$9283,Journal!$B$4:$B$9283,J$8,Journal!$C$4:$C$9283,$B53)</f>
        <v>0</v>
      </c>
      <c r="K54" s="22">
        <f>SUMIFS(Journal!$D$4:$D$9283,Journal!$B$4:$B$9283,K$8,Journal!$C$4:$C$9283,$B53)</f>
        <v>0</v>
      </c>
      <c r="L54" s="22">
        <f>SUMIFS(Journal!$D$4:$D$9283,Journal!$B$4:$B$9283,L$8,Journal!$C$4:$C$9283,$B53)</f>
        <v>0</v>
      </c>
      <c r="M54" s="22">
        <f>SUMIFS(Journal!$D$4:$D$9283,Journal!$B$4:$B$9283,M$8,Journal!$C$4:$C$9283,$B53)</f>
        <v>0</v>
      </c>
      <c r="N54" s="22">
        <f>SUMIFS(Journal!$D$4:$D$9283,Journal!$B$4:$B$9283,N$8,Journal!$C$4:$C$9283,$B53)</f>
        <v>0</v>
      </c>
      <c r="O54" s="22">
        <f>SUMIFS(Journal!$D$4:$D$9283,Journal!$B$4:$B$9283,O$8,Journal!$C$4:$C$9283,$B53)</f>
        <v>0</v>
      </c>
      <c r="P54" s="22">
        <f>SUMIFS(Journal!$D$4:$D$9283,Journal!$B$4:$B$9283,P$8,Journal!$C$4:$C$9283,$B53)</f>
        <v>0</v>
      </c>
      <c r="Q54" s="22">
        <f>SUMIFS(Journal!$D$4:$D$9283,Journal!$B$4:$B$9283,Q$8,Journal!$C$4:$C$9283,$B53)</f>
        <v>0</v>
      </c>
      <c r="R54" s="22">
        <f>SUMIFS(Journal!$D$4:$D$9283,Journal!$B$4:$B$9283,R$8,Journal!$C$4:$C$9283,$B53)</f>
        <v>0</v>
      </c>
      <c r="S54" s="22">
        <f>SUMIFS(Journal!$D$4:$D$9283,Journal!$B$4:$B$9283,S$8,Journal!$C$4:$C$9283,$B53)</f>
        <v>0</v>
      </c>
      <c r="T54" s="22">
        <f>SUMIFS(Journal!$D$4:$D$9283,Journal!$B$4:$B$9283,T$8,Journal!$C$4:$C$9283,$B53)</f>
        <v>0</v>
      </c>
      <c r="U54" s="25" t="str">
        <f t="shared" si="3"/>
        <v/>
      </c>
    </row>
    <row r="55" spans="1:21" ht="15" customHeight="1" x14ac:dyDescent="0.25">
      <c r="A55" s="38"/>
      <c r="B55" s="42" t="str">
        <f>Base!G23</f>
        <v>38 Historique de location</v>
      </c>
      <c r="C55" s="19" t="str">
        <f>A$5</f>
        <v>Prévu</v>
      </c>
      <c r="D55" s="33"/>
      <c r="E55" s="33"/>
      <c r="F55" s="33"/>
      <c r="G55" s="33"/>
      <c r="H55" s="33"/>
      <c r="I55" s="33"/>
      <c r="J55" s="33"/>
      <c r="K55" s="33"/>
      <c r="L55" s="33">
        <v>8.3333333333333329E-2</v>
      </c>
      <c r="M55" s="33"/>
      <c r="N55" s="33"/>
      <c r="O55" s="33"/>
      <c r="P55" s="33"/>
      <c r="Q55" s="33"/>
      <c r="R55" s="33"/>
      <c r="S55" s="33"/>
      <c r="T55" s="33"/>
      <c r="U55" s="20">
        <f t="shared" ref="U55:U56" si="5">IF(SUM(D55:T55)=0,"",SUM(D55:T55))</f>
        <v>8.3333333333333329E-2</v>
      </c>
    </row>
    <row r="56" spans="1:21" ht="15" customHeight="1" thickBot="1" x14ac:dyDescent="0.3">
      <c r="A56" s="38"/>
      <c r="B56" s="28"/>
      <c r="C56" s="21" t="str">
        <f>A$6</f>
        <v>Réalisé</v>
      </c>
      <c r="D56" s="22">
        <f>SUMIFS(Journal!$D$4:$D$9283,Journal!$B$4:$B$9283,D$8,Journal!$C$4:$C$9283,$B55)</f>
        <v>0</v>
      </c>
      <c r="E56" s="22">
        <f>SUMIFS(Journal!$D$4:$D$9283,Journal!$B$4:$B$9283,E$8,Journal!$C$4:$C$9283,$B55)</f>
        <v>0</v>
      </c>
      <c r="F56" s="22">
        <f>SUMIFS(Journal!$D$4:$D$9283,Journal!$B$4:$B$9283,F$8,Journal!$C$4:$C$9283,$B55)</f>
        <v>0</v>
      </c>
      <c r="G56" s="22">
        <f>SUMIFS(Journal!$D$4:$D$9283,Journal!$B$4:$B$9283,G$8,Journal!$C$4:$C$9283,$B55)</f>
        <v>0</v>
      </c>
      <c r="H56" s="22">
        <f>SUMIFS(Journal!$D$4:$D$9283,Journal!$B$4:$B$9283,H$8,Journal!$C$4:$C$9283,$B55)</f>
        <v>0</v>
      </c>
      <c r="I56" s="22">
        <f>SUMIFS(Journal!$D$4:$D$9283,Journal!$B$4:$B$9283,I$8,Journal!$C$4:$C$9283,$B55)</f>
        <v>0</v>
      </c>
      <c r="J56" s="22">
        <f>SUMIFS(Journal!$D$4:$D$9283,Journal!$B$4:$B$9283,J$8,Journal!$C$4:$C$9283,$B55)</f>
        <v>0</v>
      </c>
      <c r="K56" s="22">
        <f>SUMIFS(Journal!$D$4:$D$9283,Journal!$B$4:$B$9283,K$8,Journal!$C$4:$C$9283,$B55)</f>
        <v>0</v>
      </c>
      <c r="L56" s="22">
        <f>SUMIFS(Journal!$D$4:$D$9283,Journal!$B$4:$B$9283,L$8,Journal!$C$4:$C$9283,$B55)</f>
        <v>0</v>
      </c>
      <c r="M56" s="22">
        <f>SUMIFS(Journal!$D$4:$D$9283,Journal!$B$4:$B$9283,M$8,Journal!$C$4:$C$9283,$B55)</f>
        <v>0</v>
      </c>
      <c r="N56" s="22">
        <f>SUMIFS(Journal!$D$4:$D$9283,Journal!$B$4:$B$9283,N$8,Journal!$C$4:$C$9283,$B55)</f>
        <v>0</v>
      </c>
      <c r="O56" s="22">
        <f>SUMIFS(Journal!$D$4:$D$9283,Journal!$B$4:$B$9283,O$8,Journal!$C$4:$C$9283,$B55)</f>
        <v>0</v>
      </c>
      <c r="P56" s="22">
        <f>SUMIFS(Journal!$D$4:$D$9283,Journal!$B$4:$B$9283,P$8,Journal!$C$4:$C$9283,$B55)</f>
        <v>0</v>
      </c>
      <c r="Q56" s="22">
        <f>SUMIFS(Journal!$D$4:$D$9283,Journal!$B$4:$B$9283,Q$8,Journal!$C$4:$C$9283,$B55)</f>
        <v>0</v>
      </c>
      <c r="R56" s="22">
        <f>SUMIFS(Journal!$D$4:$D$9283,Journal!$B$4:$B$9283,R$8,Journal!$C$4:$C$9283,$B55)</f>
        <v>0</v>
      </c>
      <c r="S56" s="22">
        <f>SUMIFS(Journal!$D$4:$D$9283,Journal!$B$4:$B$9283,S$8,Journal!$C$4:$C$9283,$B55)</f>
        <v>0</v>
      </c>
      <c r="T56" s="22">
        <f>SUMIFS(Journal!$D$4:$D$9283,Journal!$B$4:$B$9283,T$8,Journal!$C$4:$C$9283,$B55)</f>
        <v>0</v>
      </c>
      <c r="U56" s="25" t="str">
        <f t="shared" si="5"/>
        <v/>
      </c>
    </row>
    <row r="57" spans="1:21" ht="15" customHeight="1" x14ac:dyDescent="0.25">
      <c r="A57" s="38"/>
      <c r="B57" s="42" t="str">
        <f>Base!G24</f>
        <v>39 Recherche : délai dépassé</v>
      </c>
      <c r="C57" s="19" t="str">
        <f>A$5</f>
        <v>Prévu</v>
      </c>
      <c r="D57" s="33"/>
      <c r="E57" s="33"/>
      <c r="F57" s="33"/>
      <c r="G57" s="33"/>
      <c r="H57" s="33"/>
      <c r="I57" s="33"/>
      <c r="J57" s="33"/>
      <c r="K57" s="33"/>
      <c r="L57" s="33">
        <v>8.3333333333333329E-2</v>
      </c>
      <c r="M57" s="33"/>
      <c r="N57" s="33"/>
      <c r="O57" s="33"/>
      <c r="P57" s="33"/>
      <c r="Q57" s="33"/>
      <c r="R57" s="33"/>
      <c r="S57" s="33"/>
      <c r="T57" s="33"/>
      <c r="U57" s="20">
        <f t="shared" si="3"/>
        <v>8.3333333333333329E-2</v>
      </c>
    </row>
    <row r="58" spans="1:21" ht="15" customHeight="1" thickBot="1" x14ac:dyDescent="0.3">
      <c r="A58" s="38"/>
      <c r="B58" s="28"/>
      <c r="C58" s="21" t="str">
        <f>A$6</f>
        <v>Réalisé</v>
      </c>
      <c r="D58" s="22">
        <f>SUMIFS(Journal!$D$4:$D$9283,Journal!$B$4:$B$9283,D$8,Journal!$C$4:$C$9283,$B57)</f>
        <v>0</v>
      </c>
      <c r="E58" s="22">
        <f>SUMIFS(Journal!$D$4:$D$9283,Journal!$B$4:$B$9283,E$8,Journal!$C$4:$C$9283,$B57)</f>
        <v>0</v>
      </c>
      <c r="F58" s="22">
        <f>SUMIFS(Journal!$D$4:$D$9283,Journal!$B$4:$B$9283,F$8,Journal!$C$4:$C$9283,$B57)</f>
        <v>0</v>
      </c>
      <c r="G58" s="22">
        <f>SUMIFS(Journal!$D$4:$D$9283,Journal!$B$4:$B$9283,G$8,Journal!$C$4:$C$9283,$B57)</f>
        <v>0</v>
      </c>
      <c r="H58" s="22">
        <f>SUMIFS(Journal!$D$4:$D$9283,Journal!$B$4:$B$9283,H$8,Journal!$C$4:$C$9283,$B57)</f>
        <v>0</v>
      </c>
      <c r="I58" s="22">
        <f>SUMIFS(Journal!$D$4:$D$9283,Journal!$B$4:$B$9283,I$8,Journal!$C$4:$C$9283,$B57)</f>
        <v>0</v>
      </c>
      <c r="J58" s="22">
        <f>SUMIFS(Journal!$D$4:$D$9283,Journal!$B$4:$B$9283,J$8,Journal!$C$4:$C$9283,$B57)</f>
        <v>0</v>
      </c>
      <c r="K58" s="22">
        <f>SUMIFS(Journal!$D$4:$D$9283,Journal!$B$4:$B$9283,K$8,Journal!$C$4:$C$9283,$B57)</f>
        <v>0</v>
      </c>
      <c r="L58" s="22">
        <f>SUMIFS(Journal!$D$4:$D$9283,Journal!$B$4:$B$9283,L$8,Journal!$C$4:$C$9283,$B57)</f>
        <v>0</v>
      </c>
      <c r="M58" s="22">
        <f>SUMIFS(Journal!$D$4:$D$9283,Journal!$B$4:$B$9283,M$8,Journal!$C$4:$C$9283,$B57)</f>
        <v>0</v>
      </c>
      <c r="N58" s="22">
        <f>SUMIFS(Journal!$D$4:$D$9283,Journal!$B$4:$B$9283,N$8,Journal!$C$4:$C$9283,$B57)</f>
        <v>0</v>
      </c>
      <c r="O58" s="22">
        <f>SUMIFS(Journal!$D$4:$D$9283,Journal!$B$4:$B$9283,O$8,Journal!$C$4:$C$9283,$B57)</f>
        <v>0</v>
      </c>
      <c r="P58" s="22">
        <f>SUMIFS(Journal!$D$4:$D$9283,Journal!$B$4:$B$9283,P$8,Journal!$C$4:$C$9283,$B57)</f>
        <v>0</v>
      </c>
      <c r="Q58" s="22">
        <f>SUMIFS(Journal!$D$4:$D$9283,Journal!$B$4:$B$9283,Q$8,Journal!$C$4:$C$9283,$B57)</f>
        <v>0</v>
      </c>
      <c r="R58" s="22">
        <f>SUMIFS(Journal!$D$4:$D$9283,Journal!$B$4:$B$9283,R$8,Journal!$C$4:$C$9283,$B57)</f>
        <v>0</v>
      </c>
      <c r="S58" s="22">
        <f>SUMIFS(Journal!$D$4:$D$9283,Journal!$B$4:$B$9283,S$8,Journal!$C$4:$C$9283,$B57)</f>
        <v>0</v>
      </c>
      <c r="T58" s="22">
        <f>SUMIFS(Journal!$D$4:$D$9283,Journal!$B$4:$B$9283,T$8,Journal!$C$4:$C$9283,$B57)</f>
        <v>0</v>
      </c>
      <c r="U58" s="25" t="str">
        <f t="shared" si="3"/>
        <v/>
      </c>
    </row>
    <row r="59" spans="1:21" ht="20.25" customHeight="1" x14ac:dyDescent="0.25">
      <c r="A59" s="166" t="str">
        <f>Base!F25</f>
        <v>4 Tests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7">
        <f>SUMIF($C61:$C72,$C61,U61:U72)</f>
        <v>0.52083333333333326</v>
      </c>
    </row>
    <row r="60" spans="1:21" ht="15" customHeight="1" thickBot="1" x14ac:dyDescent="0.3">
      <c r="A60" s="168"/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8">
        <f>SUMIF($C61:$C72,$C62,U61:U72)</f>
        <v>0</v>
      </c>
    </row>
    <row r="61" spans="1:21" s="27" customFormat="1" ht="15" customHeight="1" x14ac:dyDescent="0.25">
      <c r="A61" s="39"/>
      <c r="B61" s="42" t="str">
        <f>Base!G25</f>
        <v>41 Tests unitaires</v>
      </c>
      <c r="C61" s="19" t="str">
        <f>A$5</f>
        <v>Prévu</v>
      </c>
      <c r="D61" s="33"/>
      <c r="E61" s="33"/>
      <c r="F61" s="33"/>
      <c r="G61" s="33"/>
      <c r="H61" s="33">
        <v>4.1666666666666664E-2</v>
      </c>
      <c r="I61" s="33"/>
      <c r="J61" s="33"/>
      <c r="K61" s="33"/>
      <c r="L61" s="33">
        <v>4.1666666666666664E-2</v>
      </c>
      <c r="M61" s="33"/>
      <c r="N61" s="33">
        <v>8.3333333333333329E-2</v>
      </c>
      <c r="O61" s="33"/>
      <c r="P61" s="33">
        <v>4.1666666666666664E-2</v>
      </c>
      <c r="Q61" s="33"/>
      <c r="R61" s="33"/>
      <c r="S61" s="33"/>
      <c r="T61" s="33"/>
      <c r="U61" s="20">
        <f t="shared" ref="U61:U72" si="6">IF(SUM(D61:T61)=0,"",SUM(D61:T61))</f>
        <v>0.20833333333333331</v>
      </c>
    </row>
    <row r="62" spans="1:21" s="27" customFormat="1" ht="15" customHeight="1" thickBot="1" x14ac:dyDescent="0.3">
      <c r="A62" s="39"/>
      <c r="B62" s="28"/>
      <c r="C62" s="21" t="str">
        <f>A$6</f>
        <v>Réalisé</v>
      </c>
      <c r="D62" s="22">
        <f>SUMIFS(Journal!$D$4:$D$9283,Journal!$B$4:$B$9283,D$8,Journal!$C$4:$C$9283,$B61)</f>
        <v>0</v>
      </c>
      <c r="E62" s="22"/>
      <c r="F62" s="22">
        <f>SUMIFS(Journal!$D$4:$D$9283,Journal!$B$4:$B$9283,F$8,Journal!$C$4:$C$9283,$B61)</f>
        <v>0</v>
      </c>
      <c r="G62" s="22"/>
      <c r="H62" s="22">
        <f>SUMIFS(Journal!$D$4:$D$9283,Journal!$B$4:$B$9283,H$8,Journal!$C$4:$C$9283,$B61)</f>
        <v>0</v>
      </c>
      <c r="I62" s="22"/>
      <c r="J62" s="22">
        <f>SUMIFS(Journal!$D$4:$D$9283,Journal!$B$4:$B$9283,J$8,Journal!$C$4:$C$9283,$B61)</f>
        <v>0</v>
      </c>
      <c r="K62" s="22"/>
      <c r="L62" s="22">
        <f>SUMIFS(Journal!$D$4:$D$9283,Journal!$B$4:$B$9283,L$8,Journal!$C$4:$C$9283,$B61)</f>
        <v>0</v>
      </c>
      <c r="M62" s="22"/>
      <c r="N62" s="22">
        <f>SUMIFS(Journal!$D$4:$D$9283,Journal!$B$4:$B$9283,N$8,Journal!$C$4:$C$9283,$B61)</f>
        <v>0</v>
      </c>
      <c r="O62" s="22"/>
      <c r="P62" s="22">
        <f>SUMIFS(Journal!$D$4:$D$9283,Journal!$B$4:$B$9283,P$8,Journal!$C$4:$C$9283,$B61)</f>
        <v>0</v>
      </c>
      <c r="Q62" s="22"/>
      <c r="R62" s="22">
        <f>SUMIFS(Journal!$D$4:$D$9283,Journal!$B$4:$B$9283,R$8,Journal!$C$4:$C$9283,$B61)</f>
        <v>0</v>
      </c>
      <c r="S62" s="22"/>
      <c r="T62" s="22">
        <f>SUMIFS(Journal!$D$4:$D$9283,Journal!$B$4:$B$9283,T$8,Journal!$C$4:$C$9283,$B61)</f>
        <v>0</v>
      </c>
      <c r="U62" s="25" t="str">
        <f t="shared" si="6"/>
        <v/>
      </c>
    </row>
    <row r="63" spans="1:21" ht="15" customHeight="1" x14ac:dyDescent="0.25">
      <c r="A63" s="38"/>
      <c r="B63" s="42" t="str">
        <f>Base!G26</f>
        <v>42 Tests d'intégration</v>
      </c>
      <c r="C63" s="19" t="str">
        <f>A$5</f>
        <v>Prévu</v>
      </c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>
        <v>4.1666666666666664E-2</v>
      </c>
      <c r="O63" s="33"/>
      <c r="P63" s="33">
        <v>8.3333333333333329E-2</v>
      </c>
      <c r="Q63" s="33"/>
      <c r="R63" s="33"/>
      <c r="S63" s="33"/>
      <c r="T63" s="33"/>
      <c r="U63" s="20">
        <f t="shared" si="6"/>
        <v>0.125</v>
      </c>
    </row>
    <row r="64" spans="1:21" ht="15" customHeight="1" thickBot="1" x14ac:dyDescent="0.3">
      <c r="A64" s="38"/>
      <c r="B64" s="28"/>
      <c r="C64" s="21" t="str">
        <f>A$6</f>
        <v>Réalisé</v>
      </c>
      <c r="D64" s="22">
        <f>SUMIFS(Journal!$D$4:$D$9283,Journal!$B$4:$B$9283,D$8,Journal!$C$4:$C$9283,$B63)</f>
        <v>0</v>
      </c>
      <c r="E64" s="22"/>
      <c r="F64" s="22">
        <f>SUMIFS(Journal!$D$4:$D$9283,Journal!$B$4:$B$9283,F$8,Journal!$C$4:$C$9283,$B63)</f>
        <v>0</v>
      </c>
      <c r="G64" s="22"/>
      <c r="H64" s="22">
        <f>SUMIFS(Journal!$D$4:$D$9283,Journal!$B$4:$B$9283,H$8,Journal!$C$4:$C$9283,$B63)</f>
        <v>0</v>
      </c>
      <c r="I64" s="22"/>
      <c r="J64" s="22">
        <f>SUMIFS(Journal!$D$4:$D$9283,Journal!$B$4:$B$9283,J$8,Journal!$C$4:$C$9283,$B63)</f>
        <v>0</v>
      </c>
      <c r="K64" s="22"/>
      <c r="L64" s="22">
        <f>SUMIFS(Journal!$D$4:$D$9283,Journal!$B$4:$B$9283,L$8,Journal!$C$4:$C$9283,$B63)</f>
        <v>0</v>
      </c>
      <c r="M64" s="22"/>
      <c r="N64" s="22">
        <f>SUMIFS(Journal!$D$4:$D$9283,Journal!$B$4:$B$9283,N$8,Journal!$C$4:$C$9283,$B63)</f>
        <v>0</v>
      </c>
      <c r="O64" s="22"/>
      <c r="P64" s="22">
        <f>SUMIFS(Journal!$D$4:$D$9283,Journal!$B$4:$B$9283,P$8,Journal!$C$4:$C$9283,$B63)</f>
        <v>0</v>
      </c>
      <c r="Q64" s="22"/>
      <c r="R64" s="22">
        <f>SUMIFS(Journal!$D$4:$D$9283,Journal!$B$4:$B$9283,R$8,Journal!$C$4:$C$9283,$B63)</f>
        <v>0</v>
      </c>
      <c r="S64" s="22"/>
      <c r="T64" s="22"/>
      <c r="U64" s="25" t="str">
        <f t="shared" si="6"/>
        <v/>
      </c>
    </row>
    <row r="65" spans="1:21" ht="15" customHeight="1" x14ac:dyDescent="0.25">
      <c r="A65" s="38"/>
      <c r="B65" s="42" t="str">
        <f>Base!G27</f>
        <v>43 Tests fonctionnels</v>
      </c>
      <c r="C65" s="19" t="str">
        <f>A$5</f>
        <v>Prévu</v>
      </c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>
        <v>4.1666666666666664E-2</v>
      </c>
      <c r="O65" s="33"/>
      <c r="P65" s="33">
        <v>6.25E-2</v>
      </c>
      <c r="Q65" s="33"/>
      <c r="R65" s="33">
        <v>8.3333333333333329E-2</v>
      </c>
      <c r="S65" s="33"/>
      <c r="T65" s="33"/>
      <c r="U65" s="20">
        <f t="shared" si="6"/>
        <v>0.1875</v>
      </c>
    </row>
    <row r="66" spans="1:21" ht="15" customHeight="1" thickBot="1" x14ac:dyDescent="0.3">
      <c r="A66" s="38"/>
      <c r="B66" s="28"/>
      <c r="C66" s="21" t="str">
        <f>A$6</f>
        <v>Réalisé</v>
      </c>
      <c r="D66" s="22">
        <f>SUMIFS(Journal!$D$4:$D$9283,Journal!$B$4:$B$9283,D$8,Journal!$C$4:$C$9283,$B65)</f>
        <v>0</v>
      </c>
      <c r="E66" s="22"/>
      <c r="F66" s="22">
        <f>SUMIFS(Journal!$D$4:$D$9283,Journal!$B$4:$B$9283,F$8,Journal!$C$4:$C$9283,$B65)</f>
        <v>0</v>
      </c>
      <c r="G66" s="22"/>
      <c r="H66" s="22">
        <f>SUMIFS(Journal!$D$4:$D$9283,Journal!$B$4:$B$9283,H$8,Journal!$C$4:$C$9283,$B65)</f>
        <v>0</v>
      </c>
      <c r="I66" s="22"/>
      <c r="J66" s="22">
        <f>SUMIFS(Journal!$D$4:$D$9283,Journal!$B$4:$B$9283,J$8,Journal!$C$4:$C$9283,$B65)</f>
        <v>0</v>
      </c>
      <c r="K66" s="22"/>
      <c r="L66" s="22">
        <f>SUMIFS(Journal!$D$4:$D$9283,Journal!$B$4:$B$9283,L$8,Journal!$C$4:$C$9283,$B65)</f>
        <v>0</v>
      </c>
      <c r="M66" s="22"/>
      <c r="N66" s="22">
        <f>SUMIFS(Journal!$D$4:$D$9283,Journal!$B$4:$B$9283,N$8,Journal!$C$4:$C$9283,$B65)</f>
        <v>0</v>
      </c>
      <c r="O66" s="22"/>
      <c r="P66" s="22">
        <f>SUMIFS(Journal!$D$4:$D$9283,Journal!$B$4:$B$9283,P$8,Journal!$C$4:$C$9283,$B65)</f>
        <v>0</v>
      </c>
      <c r="Q66" s="22"/>
      <c r="R66" s="22">
        <f>SUMIFS(Journal!$D$4:$D$9283,Journal!$B$4:$B$9283,R$8,Journal!$C$4:$C$9283,$B65)</f>
        <v>0</v>
      </c>
      <c r="S66" s="22"/>
      <c r="T66" s="22">
        <f>SUMIFS(Journal!$D$4:$D$9283,Journal!$B$4:$B$9283,T$8,Journal!$C$4:$C$9283,$B65)</f>
        <v>0</v>
      </c>
      <c r="U66" s="25" t="str">
        <f t="shared" si="6"/>
        <v/>
      </c>
    </row>
    <row r="67" spans="1:21" ht="15" customHeight="1" x14ac:dyDescent="0.25">
      <c r="A67" s="38"/>
      <c r="B67" s="42" t="str">
        <f>Base!G28</f>
        <v>44 -</v>
      </c>
      <c r="C67" s="19" t="str">
        <f>A$5</f>
        <v>Prévu</v>
      </c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20" t="str">
        <f t="shared" si="6"/>
        <v/>
      </c>
    </row>
    <row r="68" spans="1:21" ht="15" customHeight="1" thickBot="1" x14ac:dyDescent="0.3">
      <c r="A68" s="38"/>
      <c r="B68" s="28"/>
      <c r="C68" s="21" t="str">
        <f>A$6</f>
        <v>Réalisé</v>
      </c>
      <c r="D68" s="22">
        <f>SUMIFS(Journal!$D$4:$D$9283,Journal!$B$4:$B$9283,D$8,Journal!$C$4:$C$9283,$B67)</f>
        <v>0</v>
      </c>
      <c r="E68" s="22"/>
      <c r="F68" s="22">
        <f>SUMIFS(Journal!$D$4:$D$9283,Journal!$B$4:$B$9283,F$8,Journal!$C$4:$C$9283,$B67)</f>
        <v>0</v>
      </c>
      <c r="G68" s="22"/>
      <c r="H68" s="22">
        <f>SUMIFS(Journal!$D$4:$D$9283,Journal!$B$4:$B$9283,H$8,Journal!$C$4:$C$9283,$B67)</f>
        <v>0</v>
      </c>
      <c r="I68" s="22"/>
      <c r="J68" s="22">
        <f>SUMIFS(Journal!$D$4:$D$9283,Journal!$B$4:$B$9283,J$8,Journal!$C$4:$C$9283,$B67)</f>
        <v>0</v>
      </c>
      <c r="K68" s="22"/>
      <c r="L68" s="22">
        <f>SUMIFS(Journal!$D$4:$D$9283,Journal!$B$4:$B$9283,L$8,Journal!$C$4:$C$9283,$B67)</f>
        <v>0</v>
      </c>
      <c r="M68" s="22"/>
      <c r="N68" s="22">
        <f>SUMIFS(Journal!$D$4:$D$9283,Journal!$B$4:$B$9283,N$8,Journal!$C$4:$C$9283,$B67)</f>
        <v>0</v>
      </c>
      <c r="O68" s="22"/>
      <c r="P68" s="22">
        <f>SUMIFS(Journal!$D$4:$D$9283,Journal!$B$4:$B$9283,P$8,Journal!$C$4:$C$9283,$B67)</f>
        <v>0</v>
      </c>
      <c r="Q68" s="22"/>
      <c r="R68" s="22">
        <f>SUMIFS(Journal!$D$4:$D$9283,Journal!$B$4:$B$9283,R$8,Journal!$C$4:$C$9283,$B67)</f>
        <v>0</v>
      </c>
      <c r="S68" s="22"/>
      <c r="T68" s="22">
        <f>SUMIFS(Journal!$D$4:$D$9283,Journal!$B$4:$B$9283,T$8,Journal!$C$4:$C$9283,$B67)</f>
        <v>0</v>
      </c>
      <c r="U68" s="25" t="str">
        <f t="shared" si="6"/>
        <v/>
      </c>
    </row>
    <row r="69" spans="1:21" ht="15" customHeight="1" x14ac:dyDescent="0.25">
      <c r="A69" s="38"/>
      <c r="B69" s="42" t="str">
        <f>Base!G29</f>
        <v>45 -</v>
      </c>
      <c r="C69" s="19" t="str">
        <f>A$5</f>
        <v>Prévu</v>
      </c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20" t="str">
        <f t="shared" si="6"/>
        <v/>
      </c>
    </row>
    <row r="70" spans="1:21" ht="15" customHeight="1" thickBot="1" x14ac:dyDescent="0.3">
      <c r="A70" s="38"/>
      <c r="B70" s="28"/>
      <c r="C70" s="21" t="str">
        <f>A$6</f>
        <v>Réalisé</v>
      </c>
      <c r="D70" s="22">
        <f>SUMIFS(Journal!$D$4:$D$9283,Journal!$B$4:$B$9283,D$8,Journal!$C$4:$C$9283,$B69)</f>
        <v>0</v>
      </c>
      <c r="E70" s="22"/>
      <c r="F70" s="22">
        <f>SUMIFS(Journal!$D$4:$D$9283,Journal!$B$4:$B$9283,F$8,Journal!$C$4:$C$9283,$B69)</f>
        <v>0</v>
      </c>
      <c r="G70" s="22"/>
      <c r="H70" s="22">
        <f>SUMIFS(Journal!$D$4:$D$9283,Journal!$B$4:$B$9283,H$8,Journal!$C$4:$C$9283,$B69)</f>
        <v>0</v>
      </c>
      <c r="I70" s="22"/>
      <c r="J70" s="22">
        <f>SUMIFS(Journal!$D$4:$D$9283,Journal!$B$4:$B$9283,J$8,Journal!$C$4:$C$9283,$B69)</f>
        <v>0</v>
      </c>
      <c r="K70" s="22"/>
      <c r="L70" s="22">
        <f>SUMIFS(Journal!$D$4:$D$9283,Journal!$B$4:$B$9283,L$8,Journal!$C$4:$C$9283,$B69)</f>
        <v>0</v>
      </c>
      <c r="M70" s="22"/>
      <c r="N70" s="22">
        <f>SUMIFS(Journal!$D$4:$D$9283,Journal!$B$4:$B$9283,N$8,Journal!$C$4:$C$9283,$B69)</f>
        <v>0</v>
      </c>
      <c r="O70" s="22"/>
      <c r="P70" s="22">
        <f>SUMIFS(Journal!$D$4:$D$9283,Journal!$B$4:$B$9283,P$8,Journal!$C$4:$C$9283,$B69)</f>
        <v>0</v>
      </c>
      <c r="Q70" s="22"/>
      <c r="R70" s="22">
        <f>SUMIFS(Journal!$D$4:$D$9283,Journal!$B$4:$B$9283,R$8,Journal!$C$4:$C$9283,$B69)</f>
        <v>0</v>
      </c>
      <c r="S70" s="22"/>
      <c r="T70" s="22">
        <f>SUMIFS(Journal!$D$4:$D$9283,Journal!$B$4:$B$9283,T$8,Journal!$C$4:$C$9283,$B69)</f>
        <v>0</v>
      </c>
      <c r="U70" s="25" t="str">
        <f t="shared" si="6"/>
        <v/>
      </c>
    </row>
    <row r="71" spans="1:21" ht="15" customHeight="1" x14ac:dyDescent="0.25">
      <c r="A71" s="38"/>
      <c r="B71" s="42" t="str">
        <f>Base!G30</f>
        <v>46 -</v>
      </c>
      <c r="C71" s="19" t="str">
        <f>A$5</f>
        <v>Prévu</v>
      </c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20" t="str">
        <f t="shared" si="6"/>
        <v/>
      </c>
    </row>
    <row r="72" spans="1:21" ht="15" customHeight="1" thickBot="1" x14ac:dyDescent="0.3">
      <c r="A72" s="38"/>
      <c r="B72" s="28"/>
      <c r="C72" s="21" t="str">
        <f>A$6</f>
        <v>Réalisé</v>
      </c>
      <c r="D72" s="22">
        <f>SUMIFS(Journal!$D$4:$D$9283,Journal!$B$4:$B$9283,D$8,Journal!$C$4:$C$9283,$B71)</f>
        <v>0</v>
      </c>
      <c r="E72" s="22"/>
      <c r="F72" s="22">
        <f>SUMIFS(Journal!$D$4:$D$9283,Journal!$B$4:$B$9283,F$8,Journal!$C$4:$C$9283,$B71)</f>
        <v>0</v>
      </c>
      <c r="G72" s="22"/>
      <c r="H72" s="22">
        <f>SUMIFS(Journal!$D$4:$D$9283,Journal!$B$4:$B$9283,H$8,Journal!$C$4:$C$9283,$B71)</f>
        <v>0</v>
      </c>
      <c r="I72" s="22"/>
      <c r="J72" s="22">
        <f>SUMIFS(Journal!$D$4:$D$9283,Journal!$B$4:$B$9283,J$8,Journal!$C$4:$C$9283,$B71)</f>
        <v>0</v>
      </c>
      <c r="K72" s="22"/>
      <c r="L72" s="22">
        <f>SUMIFS(Journal!$D$4:$D$9283,Journal!$B$4:$B$9283,L$8,Journal!$C$4:$C$9283,$B71)</f>
        <v>0</v>
      </c>
      <c r="M72" s="22"/>
      <c r="N72" s="22">
        <f>SUMIFS(Journal!$D$4:$D$9283,Journal!$B$4:$B$9283,N$8,Journal!$C$4:$C$9283,$B71)</f>
        <v>0</v>
      </c>
      <c r="O72" s="22"/>
      <c r="P72" s="22">
        <f>SUMIFS(Journal!$D$4:$D$9283,Journal!$B$4:$B$9283,P$8,Journal!$C$4:$C$9283,$B71)</f>
        <v>0</v>
      </c>
      <c r="Q72" s="22"/>
      <c r="R72" s="22">
        <f>SUMIFS(Journal!$D$4:$D$9283,Journal!$B$4:$B$9283,R$8,Journal!$C$4:$C$9283,$B71)</f>
        <v>0</v>
      </c>
      <c r="S72" s="22"/>
      <c r="T72" s="22">
        <f>SUMIFS(Journal!$D$4:$D$9283,Journal!$B$4:$B$9283,T$8,Journal!$C$4:$C$9283,$B71)</f>
        <v>0</v>
      </c>
      <c r="U72" s="25" t="str">
        <f t="shared" si="6"/>
        <v/>
      </c>
    </row>
    <row r="73" spans="1:21" ht="20.25" customHeight="1" x14ac:dyDescent="0.25">
      <c r="A73" s="143" t="str">
        <f>Base!F31</f>
        <v>5 Documentation</v>
      </c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7">
        <f>SUMIF($C75:$C86,$C75,U75:U86)</f>
        <v>0.82638888888888884</v>
      </c>
    </row>
    <row r="74" spans="1:21" ht="15" customHeight="1" thickBot="1" x14ac:dyDescent="0.3">
      <c r="A74" s="145"/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8">
        <f>SUMIF($C75:$C86,$C76,U75:U86)</f>
        <v>6.9444444444444441E-3</v>
      </c>
    </row>
    <row r="75" spans="1:21" ht="15" customHeight="1" x14ac:dyDescent="0.25">
      <c r="A75" s="38"/>
      <c r="B75" s="42" t="str">
        <f>Base!G31</f>
        <v>51 Rapport de pré-TPI</v>
      </c>
      <c r="C75" s="19" t="str">
        <f>A$5</f>
        <v>Prévu</v>
      </c>
      <c r="D75" s="33">
        <v>4.1666666666666664E-2</v>
      </c>
      <c r="E75" s="33"/>
      <c r="F75" s="33">
        <v>4.1666666666666664E-2</v>
      </c>
      <c r="G75" s="33"/>
      <c r="H75" s="33">
        <v>4.1666666666666664E-2</v>
      </c>
      <c r="I75" s="33"/>
      <c r="J75" s="33"/>
      <c r="K75" s="33"/>
      <c r="L75" s="33">
        <v>4.1666666666666664E-2</v>
      </c>
      <c r="M75" s="33"/>
      <c r="N75" s="33">
        <v>4.1666666666666664E-2</v>
      </c>
      <c r="O75" s="33"/>
      <c r="P75" s="33">
        <v>4.1666666666666664E-2</v>
      </c>
      <c r="Q75" s="33"/>
      <c r="R75" s="33">
        <v>8.3333333333333329E-2</v>
      </c>
      <c r="S75" s="33"/>
      <c r="T75" s="33">
        <v>8.3333333333333329E-2</v>
      </c>
      <c r="U75" s="20">
        <f t="shared" ref="U75:U86" si="7">IF(SUM(D75:T75)=0,"",SUM(D75:T75))</f>
        <v>0.41666666666666663</v>
      </c>
    </row>
    <row r="76" spans="1:21" ht="15" customHeight="1" thickBot="1" x14ac:dyDescent="0.3">
      <c r="A76" s="38"/>
      <c r="B76" s="28"/>
      <c r="C76" s="21" t="str">
        <f>A$6</f>
        <v>Réalisé</v>
      </c>
      <c r="D76" s="22">
        <f>SUMIFS(Journal!$D$4:$D$9283,Journal!$B$4:$B$9283,D$8,Journal!$C$4:$C$9283,$B75)</f>
        <v>6.9444444444444441E-3</v>
      </c>
      <c r="E76" s="22"/>
      <c r="F76" s="22">
        <f>SUMIFS(Journal!$D$4:$D$9283,Journal!$B$4:$B$9283,F$8,Journal!$C$4:$C$9283,$B75)</f>
        <v>0</v>
      </c>
      <c r="G76" s="22"/>
      <c r="H76" s="22">
        <f>SUMIFS(Journal!$D$4:$D$9283,Journal!$B$4:$B$9283,H$8,Journal!$C$4:$C$9283,$B75)</f>
        <v>0</v>
      </c>
      <c r="I76" s="22"/>
      <c r="J76" s="22">
        <f>SUMIFS(Journal!$D$4:$D$9283,Journal!$B$4:$B$9283,J$8,Journal!$C$4:$C$9283,$B75)</f>
        <v>0</v>
      </c>
      <c r="K76" s="22"/>
      <c r="L76" s="22">
        <f>SUMIFS(Journal!$D$4:$D$9283,Journal!$B$4:$B$9283,L$8,Journal!$C$4:$C$9283,$B75)</f>
        <v>0</v>
      </c>
      <c r="M76" s="22"/>
      <c r="N76" s="22">
        <f>SUMIFS(Journal!$D$4:$D$9283,Journal!$B$4:$B$9283,N$8,Journal!$C$4:$C$9283,$B75)</f>
        <v>0</v>
      </c>
      <c r="O76" s="22"/>
      <c r="P76" s="22">
        <f>SUMIFS(Journal!$D$4:$D$9283,Journal!$B$4:$B$9283,P$8,Journal!$C$4:$C$9283,$B75)</f>
        <v>0</v>
      </c>
      <c r="Q76" s="22"/>
      <c r="R76" s="22">
        <f>SUMIFS(Journal!$D$4:$D$9283,Journal!$B$4:$B$9283,R$8,Journal!$C$4:$C$9283,$B75)</f>
        <v>0</v>
      </c>
      <c r="S76" s="22"/>
      <c r="T76" s="22">
        <f>SUMIFS(Journal!$D$4:$D$9283,Journal!$B$4:$B$9283,T$8,Journal!$C$4:$C$9283,$B75)</f>
        <v>0</v>
      </c>
      <c r="U76" s="25">
        <f t="shared" si="7"/>
        <v>6.9444444444444441E-3</v>
      </c>
    </row>
    <row r="77" spans="1:21" ht="15" customHeight="1" x14ac:dyDescent="0.25">
      <c r="A77" s="38"/>
      <c r="B77" s="42" t="str">
        <f>Base!G32</f>
        <v>52 Mode d'emploi utilisateur</v>
      </c>
      <c r="C77" s="19" t="str">
        <f>A$5</f>
        <v>Prévu</v>
      </c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>
        <v>4.1666666666666664E-2</v>
      </c>
      <c r="Q77" s="33"/>
      <c r="R77" s="33">
        <v>8.3333333333333329E-2</v>
      </c>
      <c r="S77" s="33"/>
      <c r="T77" s="33"/>
      <c r="U77" s="20">
        <f t="shared" si="7"/>
        <v>0.125</v>
      </c>
    </row>
    <row r="78" spans="1:21" ht="15" customHeight="1" thickBot="1" x14ac:dyDescent="0.3">
      <c r="A78" s="38"/>
      <c r="B78" s="28"/>
      <c r="C78" s="21" t="str">
        <f>A$6</f>
        <v>Réalisé</v>
      </c>
      <c r="D78" s="22">
        <f>SUMIFS(Journal!$D$4:$D$9283,Journal!$B$4:$B$9283,D$8,Journal!$C$4:$C$9283,$B77)</f>
        <v>0</v>
      </c>
      <c r="E78" s="22"/>
      <c r="F78" s="22">
        <f>SUMIFS(Journal!$D$4:$D$9283,Journal!$B$4:$B$9283,F$8,Journal!$C$4:$C$9283,$B77)</f>
        <v>0</v>
      </c>
      <c r="G78" s="22"/>
      <c r="H78" s="22">
        <f>SUMIFS(Journal!$D$4:$D$9283,Journal!$B$4:$B$9283,H$8,Journal!$C$4:$C$9283,$B77)</f>
        <v>0</v>
      </c>
      <c r="I78" s="22"/>
      <c r="J78" s="22">
        <f>SUMIFS(Journal!$D$4:$D$9283,Journal!$B$4:$B$9283,J$8,Journal!$C$4:$C$9283,$B77)</f>
        <v>0</v>
      </c>
      <c r="K78" s="22"/>
      <c r="L78" s="22">
        <f>SUMIFS(Journal!$D$4:$D$9283,Journal!$B$4:$B$9283,L$8,Journal!$C$4:$C$9283,$B77)</f>
        <v>0</v>
      </c>
      <c r="M78" s="22"/>
      <c r="N78" s="22">
        <f>SUMIFS(Journal!$D$4:$D$9283,Journal!$B$4:$B$9283,N$8,Journal!$C$4:$C$9283,$B77)</f>
        <v>0</v>
      </c>
      <c r="O78" s="22"/>
      <c r="P78" s="22">
        <f>SUMIFS(Journal!$D$4:$D$9283,Journal!$B$4:$B$9283,P$8,Journal!$C$4:$C$9283,$B77)</f>
        <v>0</v>
      </c>
      <c r="Q78" s="22"/>
      <c r="R78" s="22">
        <f>SUMIFS(Journal!$D$4:$D$9283,Journal!$B$4:$B$9283,R$8,Journal!$C$4:$C$9283,$B77)</f>
        <v>0</v>
      </c>
      <c r="S78" s="22"/>
      <c r="T78" s="22">
        <f>SUMIFS(Journal!$D$4:$D$9283,Journal!$B$4:$B$9283,T$8,Journal!$C$4:$C$9283,$B77)</f>
        <v>0</v>
      </c>
      <c r="U78" s="25" t="str">
        <f t="shared" si="7"/>
        <v/>
      </c>
    </row>
    <row r="79" spans="1:21" ht="15" customHeight="1" x14ac:dyDescent="0.25">
      <c r="A79" s="38"/>
      <c r="B79" s="42" t="str">
        <f>Base!G33</f>
        <v>53 -</v>
      </c>
      <c r="C79" s="19" t="str">
        <f>A$5</f>
        <v>Prévu</v>
      </c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20" t="str">
        <f t="shared" si="7"/>
        <v/>
      </c>
    </row>
    <row r="80" spans="1:21" ht="15" customHeight="1" thickBot="1" x14ac:dyDescent="0.3">
      <c r="A80" s="38"/>
      <c r="B80" s="28"/>
      <c r="C80" s="21" t="str">
        <f>A$6</f>
        <v>Réalisé</v>
      </c>
      <c r="D80" s="22">
        <f>SUMIFS(Journal!$D$4:$D$9283,Journal!$B$4:$B$9283,D$8,Journal!$C$4:$C$9283,$B79)</f>
        <v>0</v>
      </c>
      <c r="E80" s="22"/>
      <c r="F80" s="22">
        <f>SUMIFS(Journal!$D$4:$D$9283,Journal!$B$4:$B$9283,F$8,Journal!$C$4:$C$9283,$B79)</f>
        <v>0</v>
      </c>
      <c r="G80" s="22"/>
      <c r="H80" s="22">
        <f>SUMIFS(Journal!$D$4:$D$9283,Journal!$B$4:$B$9283,H$8,Journal!$C$4:$C$9283,$B79)</f>
        <v>0</v>
      </c>
      <c r="I80" s="22"/>
      <c r="J80" s="22">
        <f>SUMIFS(Journal!$D$4:$D$9283,Journal!$B$4:$B$9283,J$8,Journal!$C$4:$C$9283,$B79)</f>
        <v>0</v>
      </c>
      <c r="K80" s="22"/>
      <c r="L80" s="22">
        <f>SUMIFS(Journal!$D$4:$D$9283,Journal!$B$4:$B$9283,L$8,Journal!$C$4:$C$9283,$B79)</f>
        <v>0</v>
      </c>
      <c r="M80" s="22"/>
      <c r="N80" s="22">
        <f>SUMIFS(Journal!$D$4:$D$9283,Journal!$B$4:$B$9283,N$8,Journal!$C$4:$C$9283,$B79)</f>
        <v>0</v>
      </c>
      <c r="O80" s="22"/>
      <c r="P80" s="22">
        <f>SUMIFS(Journal!$D$4:$D$9283,Journal!$B$4:$B$9283,P$8,Journal!$C$4:$C$9283,$B79)</f>
        <v>0</v>
      </c>
      <c r="Q80" s="22"/>
      <c r="R80" s="22">
        <f>SUMIFS(Journal!$D$4:$D$9283,Journal!$B$4:$B$9283,R$8,Journal!$C$4:$C$9283,$B79)</f>
        <v>0</v>
      </c>
      <c r="S80" s="22"/>
      <c r="T80" s="22">
        <f>SUMIFS(Journal!$D$4:$D$9283,Journal!$B$4:$B$9283,T$8,Journal!$C$4:$C$9283,$B79)</f>
        <v>0</v>
      </c>
      <c r="U80" s="25" t="str">
        <f t="shared" si="7"/>
        <v/>
      </c>
    </row>
    <row r="81" spans="1:21" ht="15" customHeight="1" x14ac:dyDescent="0.25">
      <c r="A81" s="38"/>
      <c r="B81" s="42" t="str">
        <f>Base!G34</f>
        <v>54 Procédure d'installation</v>
      </c>
      <c r="C81" s="19" t="str">
        <f>A$5</f>
        <v>Prévu</v>
      </c>
      <c r="D81" s="33"/>
      <c r="E81" s="33"/>
      <c r="F81" s="33"/>
      <c r="G81" s="33"/>
      <c r="H81" s="33">
        <v>4.1666666666666664E-2</v>
      </c>
      <c r="I81" s="33"/>
      <c r="J81" s="33"/>
      <c r="K81" s="33"/>
      <c r="L81" s="33">
        <v>4.1666666666666664E-2</v>
      </c>
      <c r="M81" s="33"/>
      <c r="N81" s="33"/>
      <c r="O81" s="33"/>
      <c r="P81" s="33"/>
      <c r="Q81" s="33"/>
      <c r="R81" s="33"/>
      <c r="S81" s="33"/>
      <c r="T81" s="33"/>
      <c r="U81" s="20">
        <f t="shared" si="7"/>
        <v>8.3333333333333329E-2</v>
      </c>
    </row>
    <row r="82" spans="1:21" ht="15" customHeight="1" thickBot="1" x14ac:dyDescent="0.3">
      <c r="A82" s="38"/>
      <c r="B82" s="28"/>
      <c r="C82" s="21" t="str">
        <f>A$6</f>
        <v>Réalisé</v>
      </c>
      <c r="D82" s="22">
        <f>SUMIFS(Journal!$D$4:$D$9283,Journal!$B$4:$B$9283,D$8,Journal!$C$4:$C$9283,$B81)</f>
        <v>0</v>
      </c>
      <c r="E82" s="22"/>
      <c r="F82" s="22">
        <f>SUMIFS(Journal!$D$4:$D$9283,Journal!$B$4:$B$9283,F$8,Journal!$C$4:$C$9283,$B81)</f>
        <v>0</v>
      </c>
      <c r="G82" s="22"/>
      <c r="H82" s="22">
        <f>SUMIFS(Journal!$D$4:$D$9283,Journal!$B$4:$B$9283,H$8,Journal!$C$4:$C$9283,$B81)</f>
        <v>0</v>
      </c>
      <c r="I82" s="22"/>
      <c r="J82" s="22">
        <f>SUMIFS(Journal!$D$4:$D$9283,Journal!$B$4:$B$9283,J$8,Journal!$C$4:$C$9283,$B81)</f>
        <v>0</v>
      </c>
      <c r="K82" s="22"/>
      <c r="L82" s="22">
        <f>SUMIFS(Journal!$D$4:$D$9283,Journal!$B$4:$B$9283,L$8,Journal!$C$4:$C$9283,$B81)</f>
        <v>0</v>
      </c>
      <c r="M82" s="22"/>
      <c r="N82" s="22">
        <f>SUMIFS(Journal!$D$4:$D$9283,Journal!$B$4:$B$9283,N$8,Journal!$C$4:$C$9283,$B81)</f>
        <v>0</v>
      </c>
      <c r="O82" s="22"/>
      <c r="P82" s="22">
        <f>SUMIFS(Journal!$D$4:$D$9283,Journal!$B$4:$B$9283,P$8,Journal!$C$4:$C$9283,$B81)</f>
        <v>0</v>
      </c>
      <c r="Q82" s="22"/>
      <c r="R82" s="22">
        <f>SUMIFS(Journal!$D$4:$D$9283,Journal!$B$4:$B$9283,R$8,Journal!$C$4:$C$9283,$B81)</f>
        <v>0</v>
      </c>
      <c r="S82" s="22"/>
      <c r="T82" s="22">
        <f>SUMIFS(Journal!$D$4:$D$9283,Journal!$B$4:$B$9283,T$8,Journal!$C$4:$C$9283,$B81)</f>
        <v>0</v>
      </c>
      <c r="U82" s="25" t="str">
        <f t="shared" si="7"/>
        <v/>
      </c>
    </row>
    <row r="83" spans="1:21" ht="15" customHeight="1" x14ac:dyDescent="0.25">
      <c r="A83" s="38"/>
      <c r="B83" s="42" t="str">
        <f>Base!G35</f>
        <v>55 Procédure de mise en service</v>
      </c>
      <c r="C83" s="19" t="str">
        <f>A$5</f>
        <v>Prévu</v>
      </c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>
        <v>8.3333333333333329E-2</v>
      </c>
      <c r="S83" s="33"/>
      <c r="T83" s="33">
        <v>4.1666666666666664E-2</v>
      </c>
      <c r="U83" s="20">
        <f t="shared" si="7"/>
        <v>0.125</v>
      </c>
    </row>
    <row r="84" spans="1:21" ht="15" customHeight="1" x14ac:dyDescent="0.25">
      <c r="A84" s="38"/>
      <c r="B84" s="28"/>
      <c r="C84" s="21" t="str">
        <f>A$6</f>
        <v>Réalisé</v>
      </c>
      <c r="D84" s="22">
        <f>SUMIFS(Journal!$D$4:$D$9283,Journal!$B$4:$B$9283,D$8,Journal!$C$4:$C$9283,$B83)</f>
        <v>0</v>
      </c>
      <c r="E84" s="22"/>
      <c r="F84" s="22">
        <f>SUMIFS(Journal!$D$4:$D$9283,Journal!$B$4:$B$9283,F$8,Journal!$C$4:$C$9283,$B83)</f>
        <v>0</v>
      </c>
      <c r="G84" s="22"/>
      <c r="H84" s="22">
        <f>SUMIFS(Journal!$D$4:$D$9283,Journal!$B$4:$B$9283,H$8,Journal!$C$4:$C$9283,$B83)</f>
        <v>0</v>
      </c>
      <c r="I84" s="22"/>
      <c r="J84" s="22">
        <f>SUMIFS(Journal!$D$4:$D$9283,Journal!$B$4:$B$9283,J$8,Journal!$C$4:$C$9283,$B83)</f>
        <v>0</v>
      </c>
      <c r="K84" s="22"/>
      <c r="L84" s="22">
        <f>SUMIFS(Journal!$D$4:$D$9283,Journal!$B$4:$B$9283,L$8,Journal!$C$4:$C$9283,$B83)</f>
        <v>0</v>
      </c>
      <c r="M84" s="22"/>
      <c r="N84" s="22">
        <f>SUMIFS(Journal!$D$4:$D$9283,Journal!$B$4:$B$9283,N$8,Journal!$C$4:$C$9283,$B83)</f>
        <v>0</v>
      </c>
      <c r="O84" s="22"/>
      <c r="P84" s="22">
        <f>SUMIFS(Journal!$D$4:$D$9283,Journal!$B$4:$B$9283,P$8,Journal!$C$4:$C$9283,$B83)</f>
        <v>0</v>
      </c>
      <c r="Q84" s="22"/>
      <c r="R84" s="22">
        <f>SUMIFS(Journal!$D$4:$D$9283,Journal!$B$4:$B$9283,R$8,Journal!$C$4:$C$9283,$B83)</f>
        <v>0</v>
      </c>
      <c r="S84" s="22"/>
      <c r="T84" s="22">
        <f>SUMIFS(Journal!$D$4:$D$9283,Journal!$B$4:$B$9283,T$8,Journal!$C$4:$C$9283,$B83)</f>
        <v>0</v>
      </c>
      <c r="U84" s="25" t="str">
        <f t="shared" si="7"/>
        <v/>
      </c>
    </row>
    <row r="85" spans="1:21" ht="15" customHeight="1" x14ac:dyDescent="0.25">
      <c r="A85" s="38"/>
      <c r="B85" s="42" t="str">
        <f>Base!G36</f>
        <v>56 Commentaires du code</v>
      </c>
      <c r="C85" s="19" t="str">
        <f>A$5</f>
        <v>Prévu</v>
      </c>
      <c r="D85" s="33"/>
      <c r="E85" s="33"/>
      <c r="F85" s="33"/>
      <c r="G85" s="33"/>
      <c r="H85" s="33">
        <v>2.0833333333333332E-2</v>
      </c>
      <c r="I85" s="33"/>
      <c r="J85" s="33"/>
      <c r="K85" s="33"/>
      <c r="L85" s="33">
        <v>1.3888888888888888E-2</v>
      </c>
      <c r="M85" s="33"/>
      <c r="N85" s="33">
        <v>1.3888888888888888E-2</v>
      </c>
      <c r="O85" s="33"/>
      <c r="P85" s="33">
        <v>1.3888888888888888E-2</v>
      </c>
      <c r="Q85" s="33"/>
      <c r="R85" s="33">
        <v>1.3888888888888888E-2</v>
      </c>
      <c r="S85" s="33"/>
      <c r="T85" s="33"/>
      <c r="U85" s="26">
        <f t="shared" si="7"/>
        <v>7.6388888888888895E-2</v>
      </c>
    </row>
    <row r="86" spans="1:21" ht="15" customHeight="1" thickBot="1" x14ac:dyDescent="0.3">
      <c r="A86" s="38"/>
      <c r="B86" s="28"/>
      <c r="C86" s="21" t="str">
        <f>A$6</f>
        <v>Réalisé</v>
      </c>
      <c r="D86" s="22">
        <f>SUMIFS(Journal!$D$4:$D$9283,Journal!$B$4:$B$9283,D$8,Journal!$C$4:$C$9283,$B85)</f>
        <v>0</v>
      </c>
      <c r="E86" s="22"/>
      <c r="F86" s="22">
        <f>SUMIFS(Journal!$D$4:$D$9283,Journal!$B$4:$B$9283,F$8,Journal!$C$4:$C$9283,$B85)</f>
        <v>0</v>
      </c>
      <c r="G86" s="22"/>
      <c r="H86" s="22">
        <f>SUMIFS(Journal!$D$4:$D$9283,Journal!$B$4:$B$9283,H$8,Journal!$C$4:$C$9283,$B85)</f>
        <v>0</v>
      </c>
      <c r="I86" s="22"/>
      <c r="J86" s="22">
        <f>SUMIFS(Journal!$D$4:$D$9283,Journal!$B$4:$B$9283,J$8,Journal!$C$4:$C$9283,$B85)</f>
        <v>0</v>
      </c>
      <c r="K86" s="22"/>
      <c r="L86" s="22">
        <f>SUMIFS(Journal!$D$4:$D$9283,Journal!$B$4:$B$9283,L$8,Journal!$C$4:$C$9283,$B85)</f>
        <v>0</v>
      </c>
      <c r="M86" s="22"/>
      <c r="N86" s="22">
        <f>SUMIFS(Journal!$D$4:$D$9283,Journal!$B$4:$B$9283,N$8,Journal!$C$4:$C$9283,$B85)</f>
        <v>0</v>
      </c>
      <c r="O86" s="22"/>
      <c r="P86" s="22">
        <f>SUMIFS(Journal!$D$4:$D$9283,Journal!$B$4:$B$9283,P$8,Journal!$C$4:$C$9283,$B85)</f>
        <v>0</v>
      </c>
      <c r="Q86" s="22"/>
      <c r="R86" s="22">
        <f>SUMIFS(Journal!$D$4:$D$9283,Journal!$B$4:$B$9283,R$8,Journal!$C$4:$C$9283,$B85)</f>
        <v>0</v>
      </c>
      <c r="S86" s="22"/>
      <c r="T86" s="22">
        <f>SUMIFS(Journal!$D$4:$D$9283,Journal!$B$4:$B$9283,T$8,Journal!$C$4:$C$9283,$B85)</f>
        <v>0</v>
      </c>
      <c r="U86" s="25" t="str">
        <f t="shared" si="7"/>
        <v/>
      </c>
    </row>
    <row r="87" spans="1:21" ht="20.25" customHeight="1" x14ac:dyDescent="0.25">
      <c r="A87" s="147" t="str">
        <f>Base!F37</f>
        <v>6 Absence</v>
      </c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7">
        <f>SUMIF($C89:$C100,$C89,U89:U100)</f>
        <v>0</v>
      </c>
    </row>
    <row r="88" spans="1:21" ht="15" customHeight="1" thickBot="1" x14ac:dyDescent="0.3">
      <c r="A88" s="149"/>
      <c r="B88" s="150"/>
      <c r="C88" s="150"/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8">
        <f>SUMIF($C89:$C100,$C90,U89:U100)</f>
        <v>0</v>
      </c>
    </row>
    <row r="89" spans="1:21" ht="15" customHeight="1" x14ac:dyDescent="0.25">
      <c r="A89" s="38"/>
      <c r="B89" s="42">
        <f>Base!G37</f>
        <v>0</v>
      </c>
      <c r="C89" s="19" t="str">
        <f>A$5</f>
        <v>Prévu</v>
      </c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20"/>
    </row>
    <row r="90" spans="1:21" ht="15" customHeight="1" thickBot="1" x14ac:dyDescent="0.3">
      <c r="A90" s="38"/>
      <c r="B90" s="28"/>
      <c r="C90" s="21" t="str">
        <f>A$6</f>
        <v>Réalisé</v>
      </c>
      <c r="D90" s="22">
        <f>SUMIFS(Journal!$D$4:$D$9283,Journal!$B$4:$B$9283,D$8,Journal!$C$4:$C$9283,$B89)</f>
        <v>0</v>
      </c>
      <c r="E90" s="22">
        <f>SUMIFS(Journal!$D$4:$D$9283,Journal!$B$4:$B$9283,E$8,Journal!$C$4:$C$9283,$B89)</f>
        <v>0</v>
      </c>
      <c r="F90" s="22">
        <f>SUMIFS(Journal!$D$4:$D$9283,Journal!$B$4:$B$9283,F$8,Journal!$C$4:$C$9283,$B89)</f>
        <v>0</v>
      </c>
      <c r="G90" s="22">
        <f>SUMIFS(Journal!$D$4:$D$9283,Journal!$B$4:$B$9283,G$8,Journal!$C$4:$C$9283,$B89)</f>
        <v>0</v>
      </c>
      <c r="H90" s="22">
        <f>SUMIFS(Journal!$D$4:$D$9283,Journal!$B$4:$B$9283,H$8,Journal!$C$4:$C$9283,$B89)</f>
        <v>0</v>
      </c>
      <c r="I90" s="22">
        <f>SUMIFS(Journal!$D$4:$D$9283,Journal!$B$4:$B$9283,I$8,Journal!$C$4:$C$9283,$B89)</f>
        <v>0</v>
      </c>
      <c r="J90" s="22">
        <f>SUMIFS(Journal!$D$4:$D$9283,Journal!$B$4:$B$9283,J$8,Journal!$C$4:$C$9283,$B89)</f>
        <v>0</v>
      </c>
      <c r="K90" s="22">
        <f>SUMIFS(Journal!$D$4:$D$9283,Journal!$B$4:$B$9283,K$8,Journal!$C$4:$C$9283,$B89)</f>
        <v>0</v>
      </c>
      <c r="L90" s="22">
        <f>SUMIFS(Journal!$D$4:$D$9283,Journal!$B$4:$B$9283,L$8,Journal!$C$4:$C$9283,$B89)</f>
        <v>0</v>
      </c>
      <c r="M90" s="22">
        <f>SUMIFS(Journal!$D$4:$D$9283,Journal!$B$4:$B$9283,M$8,Journal!$C$4:$C$9283,$B89)</f>
        <v>0</v>
      </c>
      <c r="N90" s="22">
        <f>SUMIFS(Journal!$D$4:$D$9283,Journal!$B$4:$B$9283,N$8,Journal!$C$4:$C$9283,$B89)</f>
        <v>0</v>
      </c>
      <c r="O90" s="22">
        <f>SUMIFS(Journal!$D$4:$D$9283,Journal!$B$4:$B$9283,O$8,Journal!$C$4:$C$9283,$B89)</f>
        <v>0</v>
      </c>
      <c r="P90" s="22">
        <f>SUMIFS(Journal!$D$4:$D$9283,Journal!$B$4:$B$9283,P$8,Journal!$C$4:$C$9283,$B89)</f>
        <v>0</v>
      </c>
      <c r="Q90" s="22">
        <f>SUMIFS(Journal!$D$4:$D$9283,Journal!$B$4:$B$9283,Q$8,Journal!$C$4:$C$9283,$B89)</f>
        <v>0</v>
      </c>
      <c r="R90" s="22">
        <f>SUMIFS(Journal!$D$4:$D$9283,Journal!$B$4:$B$9283,R$8,Journal!$C$4:$C$9283,$B89)</f>
        <v>0</v>
      </c>
      <c r="S90" s="22">
        <f>SUMIFS(Journal!$D$4:$D$9283,Journal!$B$4:$B$9283,S$8,Journal!$C$4:$C$9283,$B89)</f>
        <v>0</v>
      </c>
      <c r="T90" s="22">
        <f>SUMIFS(Journal!$D$4:$D$9283,Journal!$B$4:$B$9283,T$8,Journal!$C$4:$C$9283,$B89)</f>
        <v>0</v>
      </c>
      <c r="U90" s="25" t="str">
        <f>IF(SUM(D90:T90)=0,"",SUM(D90:T90))</f>
        <v/>
      </c>
    </row>
    <row r="91" spans="1:21" ht="15" customHeight="1" x14ac:dyDescent="0.25">
      <c r="A91" s="38"/>
      <c r="B91" s="42">
        <f>Base!G38</f>
        <v>0</v>
      </c>
      <c r="C91" s="19" t="str">
        <f>A$5</f>
        <v>Prévu</v>
      </c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20" t="str">
        <f>IF(SUM(E91:T91)=0,"",SUM(E91:T91))</f>
        <v/>
      </c>
    </row>
    <row r="92" spans="1:21" ht="15" customHeight="1" thickBot="1" x14ac:dyDescent="0.3">
      <c r="A92" s="38"/>
      <c r="B92" s="28"/>
      <c r="C92" s="21" t="str">
        <f>A$6</f>
        <v>Réalisé</v>
      </c>
      <c r="D92" s="22">
        <f>SUMIFS(Journal!$D$4:$D$9283,Journal!$B$4:$B$9283,D$8,Journal!$C$4:$C$9283,$B91)</f>
        <v>0</v>
      </c>
      <c r="E92" s="22">
        <f>SUMIFS(Journal!$D$4:$D$9283,Journal!$B$4:$B$9283,E$8,Journal!$C$4:$C$9283,$B91)</f>
        <v>0</v>
      </c>
      <c r="F92" s="22">
        <f>SUMIFS(Journal!$D$4:$D$9283,Journal!$B$4:$B$9283,F$8,Journal!$C$4:$C$9283,$B91)</f>
        <v>0</v>
      </c>
      <c r="G92" s="22">
        <f>SUMIFS(Journal!$D$4:$D$9283,Journal!$B$4:$B$9283,G$8,Journal!$C$4:$C$9283,$B91)</f>
        <v>0</v>
      </c>
      <c r="H92" s="22">
        <f>SUMIFS(Journal!$D$4:$D$9283,Journal!$B$4:$B$9283,H$8,Journal!$C$4:$C$9283,$B91)</f>
        <v>0</v>
      </c>
      <c r="I92" s="22">
        <f>SUMIFS(Journal!$D$4:$D$9283,Journal!$B$4:$B$9283,I$8,Journal!$C$4:$C$9283,$B91)</f>
        <v>0</v>
      </c>
      <c r="J92" s="22">
        <f>SUMIFS(Journal!$D$4:$D$9283,Journal!$B$4:$B$9283,J$8,Journal!$C$4:$C$9283,$B91)</f>
        <v>0</v>
      </c>
      <c r="K92" s="22">
        <f>SUMIFS(Journal!$D$4:$D$9283,Journal!$B$4:$B$9283,K$8,Journal!$C$4:$C$9283,$B91)</f>
        <v>0</v>
      </c>
      <c r="L92" s="22">
        <f>SUMIFS(Journal!$D$4:$D$9283,Journal!$B$4:$B$9283,L$8,Journal!$C$4:$C$9283,$B91)</f>
        <v>0</v>
      </c>
      <c r="M92" s="22">
        <f>SUMIFS(Journal!$D$4:$D$9283,Journal!$B$4:$B$9283,M$8,Journal!$C$4:$C$9283,$B91)</f>
        <v>0</v>
      </c>
      <c r="N92" s="22">
        <f>SUMIFS(Journal!$D$4:$D$9283,Journal!$B$4:$B$9283,N$8,Journal!$C$4:$C$9283,$B91)</f>
        <v>0</v>
      </c>
      <c r="O92" s="22">
        <f>SUMIFS(Journal!$D$4:$D$9283,Journal!$B$4:$B$9283,O$8,Journal!$C$4:$C$9283,$B91)</f>
        <v>0</v>
      </c>
      <c r="P92" s="22">
        <f>SUMIFS(Journal!$D$4:$D$9283,Journal!$B$4:$B$9283,P$8,Journal!$C$4:$C$9283,$B91)</f>
        <v>0</v>
      </c>
      <c r="Q92" s="22">
        <f>SUMIFS(Journal!$D$4:$D$9283,Journal!$B$4:$B$9283,Q$8,Journal!$C$4:$C$9283,$B91)</f>
        <v>0</v>
      </c>
      <c r="R92" s="22">
        <f>SUMIFS(Journal!$D$4:$D$9283,Journal!$B$4:$B$9283,R$8,Journal!$C$4:$C$9283,$B91)</f>
        <v>0</v>
      </c>
      <c r="S92" s="22">
        <f>SUMIFS(Journal!$D$4:$D$9283,Journal!$B$4:$B$9283,S$8,Journal!$C$4:$C$9283,$B91)</f>
        <v>0</v>
      </c>
      <c r="T92" s="22">
        <f>SUMIFS(Journal!$D$4:$D$9283,Journal!$B$4:$B$9283,T$8,Journal!$C$4:$C$9283,$B91)</f>
        <v>0</v>
      </c>
      <c r="U92" s="25" t="str">
        <f t="shared" ref="U92:U100" si="8">IF(SUM(D92:T92)=0,"",SUM(D92:T92))</f>
        <v/>
      </c>
    </row>
    <row r="93" spans="1:21" ht="15" customHeight="1" x14ac:dyDescent="0.25">
      <c r="A93" s="38"/>
      <c r="B93" s="42">
        <f>Base!G39</f>
        <v>0</v>
      </c>
      <c r="C93" s="19" t="str">
        <f>A$5</f>
        <v>Prévu</v>
      </c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20" t="str">
        <f t="shared" si="8"/>
        <v/>
      </c>
    </row>
    <row r="94" spans="1:21" ht="15" customHeight="1" thickBot="1" x14ac:dyDescent="0.3">
      <c r="A94" s="38"/>
      <c r="B94" s="28"/>
      <c r="C94" s="21" t="str">
        <f>A$6</f>
        <v>Réalisé</v>
      </c>
      <c r="D94" s="22">
        <f>SUMIFS(Journal!$D$4:$D$9283,Journal!$B$4:$B$9283,D$8,Journal!$C$4:$C$9283,$B93)</f>
        <v>0</v>
      </c>
      <c r="E94" s="22"/>
      <c r="F94" s="22">
        <f>SUMIFS(Journal!$D$4:$D$9283,Journal!$B$4:$B$9283,F$8,Journal!$C$4:$C$9283,$B93)</f>
        <v>0</v>
      </c>
      <c r="G94" s="22"/>
      <c r="H94" s="22">
        <f>SUMIFS(Journal!$D$4:$D$9283,Journal!$B$4:$B$9283,H$8,Journal!$C$4:$C$9283,$B93)</f>
        <v>0</v>
      </c>
      <c r="I94" s="22"/>
      <c r="J94" s="22">
        <f>SUMIFS(Journal!$D$4:$D$9283,Journal!$B$4:$B$9283,J$8,Journal!$C$4:$C$9283,$B93)</f>
        <v>0</v>
      </c>
      <c r="K94" s="22"/>
      <c r="L94" s="22">
        <f>SUMIFS(Journal!$D$4:$D$9283,Journal!$B$4:$B$9283,L$8,Journal!$C$4:$C$9283,$B93)</f>
        <v>0</v>
      </c>
      <c r="M94" s="22"/>
      <c r="N94" s="22">
        <f>SUMIFS(Journal!$D$4:$D$9283,Journal!$B$4:$B$9283,N$8,Journal!$C$4:$C$9283,$B93)</f>
        <v>0</v>
      </c>
      <c r="O94" s="22"/>
      <c r="P94" s="22">
        <f>SUMIFS(Journal!$D$4:$D$9283,Journal!$B$4:$B$9283,P$8,Journal!$C$4:$C$9283,$B93)</f>
        <v>0</v>
      </c>
      <c r="Q94" s="22"/>
      <c r="R94" s="22">
        <f>SUMIFS(Journal!$D$4:$D$9283,Journal!$B$4:$B$9283,R$8,Journal!$C$4:$C$9283,$B93)</f>
        <v>0</v>
      </c>
      <c r="S94" s="22"/>
      <c r="T94" s="22">
        <f>SUMIFS(Journal!$D$4:$D$9283,Journal!$B$4:$B$9283,T$8,Journal!$C$4:$C$9283,$B93)</f>
        <v>0</v>
      </c>
      <c r="U94" s="25" t="str">
        <f t="shared" si="8"/>
        <v/>
      </c>
    </row>
    <row r="95" spans="1:21" ht="15" customHeight="1" x14ac:dyDescent="0.25">
      <c r="A95" s="38"/>
      <c r="B95" s="42">
        <f>Base!G40</f>
        <v>0</v>
      </c>
      <c r="C95" s="19" t="str">
        <f>A$5</f>
        <v>Prévu</v>
      </c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20" t="str">
        <f t="shared" si="8"/>
        <v/>
      </c>
    </row>
    <row r="96" spans="1:21" ht="15" customHeight="1" thickBot="1" x14ac:dyDescent="0.3">
      <c r="A96" s="38"/>
      <c r="B96" s="28"/>
      <c r="C96" s="21" t="str">
        <f>A$6</f>
        <v>Réalisé</v>
      </c>
      <c r="D96" s="22">
        <f>SUMIFS(Journal!$D$4:$D$9283,Journal!$B$4:$B$9283,D$8,Journal!$C$4:$C$9283,$B95)</f>
        <v>0</v>
      </c>
      <c r="E96" s="22"/>
      <c r="F96" s="22">
        <f>SUMIFS(Journal!$D$4:$D$9283,Journal!$B$4:$B$9283,F$8,Journal!$C$4:$C$9283,$B95)</f>
        <v>0</v>
      </c>
      <c r="G96" s="22"/>
      <c r="H96" s="22">
        <f>SUMIFS(Journal!$D$4:$D$9283,Journal!$B$4:$B$9283,H$8,Journal!$C$4:$C$9283,$B95)</f>
        <v>0</v>
      </c>
      <c r="I96" s="22"/>
      <c r="J96" s="22">
        <f>SUMIFS(Journal!$D$4:$D$9283,Journal!$B$4:$B$9283,J$8,Journal!$C$4:$C$9283,$B95)</f>
        <v>0</v>
      </c>
      <c r="K96" s="22"/>
      <c r="L96" s="22">
        <f>SUMIFS(Journal!$D$4:$D$9283,Journal!$B$4:$B$9283,L$8,Journal!$C$4:$C$9283,$B95)</f>
        <v>0</v>
      </c>
      <c r="M96" s="22"/>
      <c r="N96" s="22">
        <f>SUMIFS(Journal!$D$4:$D$9283,Journal!$B$4:$B$9283,N$8,Journal!$C$4:$C$9283,$B95)</f>
        <v>0</v>
      </c>
      <c r="O96" s="22"/>
      <c r="P96" s="22">
        <f>SUMIFS(Journal!$D$4:$D$9283,Journal!$B$4:$B$9283,P$8,Journal!$C$4:$C$9283,$B95)</f>
        <v>0</v>
      </c>
      <c r="Q96" s="22"/>
      <c r="R96" s="22">
        <f>SUMIFS(Journal!$D$4:$D$9283,Journal!$B$4:$B$9283,R$8,Journal!$C$4:$C$9283,$B95)</f>
        <v>0</v>
      </c>
      <c r="S96" s="22"/>
      <c r="T96" s="22">
        <f>SUMIFS(Journal!$D$4:$D$9283,Journal!$B$4:$B$9283,T$8,Journal!$C$4:$C$9283,$B95)</f>
        <v>0</v>
      </c>
      <c r="U96" s="25" t="str">
        <f t="shared" si="8"/>
        <v/>
      </c>
    </row>
    <row r="97" spans="1:21" ht="15" customHeight="1" x14ac:dyDescent="0.25">
      <c r="A97" s="38"/>
      <c r="B97" s="42">
        <f>Base!G41</f>
        <v>0</v>
      </c>
      <c r="C97" s="19" t="str">
        <f>A$5</f>
        <v>Prévu</v>
      </c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20" t="str">
        <f t="shared" si="8"/>
        <v/>
      </c>
    </row>
    <row r="98" spans="1:21" ht="15" customHeight="1" thickBot="1" x14ac:dyDescent="0.3">
      <c r="A98" s="38"/>
      <c r="B98" s="28"/>
      <c r="C98" s="21" t="str">
        <f>A$6</f>
        <v>Réalisé</v>
      </c>
      <c r="D98" s="22">
        <f>SUMIFS(Journal!$D$4:$D$9283,Journal!$B$4:$B$9283,D$8,Journal!$C$4:$C$9283,$B97)</f>
        <v>0</v>
      </c>
      <c r="E98" s="22"/>
      <c r="F98" s="22">
        <f>SUMIFS(Journal!$D$4:$D$9283,Journal!$B$4:$B$9283,F$8,Journal!$C$4:$C$9283,$B97)</f>
        <v>0</v>
      </c>
      <c r="G98" s="22"/>
      <c r="H98" s="22">
        <f>SUMIFS(Journal!$D$4:$D$9283,Journal!$B$4:$B$9283,H$8,Journal!$C$4:$C$9283,$B97)</f>
        <v>0</v>
      </c>
      <c r="I98" s="22"/>
      <c r="J98" s="22">
        <f>SUMIFS(Journal!$D$4:$D$9283,Journal!$B$4:$B$9283,J$8,Journal!$C$4:$C$9283,$B97)</f>
        <v>0</v>
      </c>
      <c r="K98" s="22"/>
      <c r="L98" s="22">
        <f>SUMIFS(Journal!$D$4:$D$9283,Journal!$B$4:$B$9283,L$8,Journal!$C$4:$C$9283,$B97)</f>
        <v>0</v>
      </c>
      <c r="M98" s="22"/>
      <c r="N98" s="22">
        <f>SUMIFS(Journal!$D$4:$D$9283,Journal!$B$4:$B$9283,N$8,Journal!$C$4:$C$9283,$B97)</f>
        <v>0</v>
      </c>
      <c r="O98" s="22"/>
      <c r="P98" s="22">
        <f>SUMIFS(Journal!$D$4:$D$9283,Journal!$B$4:$B$9283,P$8,Journal!$C$4:$C$9283,$B97)</f>
        <v>0</v>
      </c>
      <c r="Q98" s="22"/>
      <c r="R98" s="22">
        <f>SUMIFS(Journal!$D$4:$D$9283,Journal!$B$4:$B$9283,R$8,Journal!$C$4:$C$9283,$B97)</f>
        <v>0</v>
      </c>
      <c r="S98" s="22"/>
      <c r="T98" s="22">
        <f>SUMIFS(Journal!$D$4:$D$9283,Journal!$B$4:$B$9283,T$8,Journal!$C$4:$C$9283,$B97)</f>
        <v>0</v>
      </c>
      <c r="U98" s="25" t="str">
        <f t="shared" si="8"/>
        <v/>
      </c>
    </row>
    <row r="99" spans="1:21" ht="15" customHeight="1" x14ac:dyDescent="0.25">
      <c r="A99" s="38"/>
      <c r="B99" s="42">
        <f>Base!G42</f>
        <v>0</v>
      </c>
      <c r="C99" s="19" t="str">
        <f>A$5</f>
        <v>Prévu</v>
      </c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20" t="str">
        <f t="shared" si="8"/>
        <v/>
      </c>
    </row>
    <row r="100" spans="1:21" ht="15" customHeight="1" x14ac:dyDescent="0.25">
      <c r="A100" s="38"/>
      <c r="B100" s="28"/>
      <c r="C100" s="21" t="str">
        <f>A$6</f>
        <v>Réalisé</v>
      </c>
      <c r="D100" s="22">
        <f>SUMIFS(Journal!$D$4:$D$9283,Journal!$B$4:$B$9283,D$8,Journal!$C$4:$C$9283,$B99)</f>
        <v>0</v>
      </c>
      <c r="E100" s="22"/>
      <c r="F100" s="22">
        <f>SUMIFS(Journal!$D$4:$D$9283,Journal!$B$4:$B$9283,F$8,Journal!$C$4:$C$9283,$B99)</f>
        <v>0</v>
      </c>
      <c r="G100" s="22"/>
      <c r="H100" s="22">
        <f>SUMIFS(Journal!$D$4:$D$9283,Journal!$B$4:$B$9283,H$8,Journal!$C$4:$C$9283,$B99)</f>
        <v>0</v>
      </c>
      <c r="I100" s="22"/>
      <c r="J100" s="22">
        <f>SUMIFS(Journal!$D$4:$D$9283,Journal!$B$4:$B$9283,J$8,Journal!$C$4:$C$9283,$B99)</f>
        <v>0</v>
      </c>
      <c r="K100" s="22"/>
      <c r="L100" s="22">
        <f>SUMIFS(Journal!$D$4:$D$9283,Journal!$B$4:$B$9283,L$8,Journal!$C$4:$C$9283,$B99)</f>
        <v>0</v>
      </c>
      <c r="M100" s="22"/>
      <c r="N100" s="22">
        <f>SUMIFS(Journal!$D$4:$D$9283,Journal!$B$4:$B$9283,N$8,Journal!$C$4:$C$9283,$B99)</f>
        <v>0</v>
      </c>
      <c r="O100" s="22"/>
      <c r="P100" s="22">
        <f>SUMIFS(Journal!$D$4:$D$9283,Journal!$B$4:$B$9283,P$8,Journal!$C$4:$C$9283,$B99)</f>
        <v>0</v>
      </c>
      <c r="Q100" s="22"/>
      <c r="R100" s="22">
        <f>SUMIFS(Journal!$D$4:$D$9283,Journal!$B$4:$B$9283,R$8,Journal!$C$4:$C$9283,$B99)</f>
        <v>0</v>
      </c>
      <c r="S100" s="22"/>
      <c r="T100" s="22">
        <f>SUMIFS(Journal!$D$4:$D$9283,Journal!$B$4:$B$9283,T$8,Journal!$C$4:$C$9283,$B99)</f>
        <v>0</v>
      </c>
      <c r="U100" s="25" t="str">
        <f t="shared" si="8"/>
        <v/>
      </c>
    </row>
  </sheetData>
  <mergeCells count="18"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  <mergeCell ref="A73:T74"/>
    <mergeCell ref="A87:T88"/>
    <mergeCell ref="B25:B26"/>
    <mergeCell ref="B27:B28"/>
    <mergeCell ref="B29:B30"/>
    <mergeCell ref="B31:B32"/>
    <mergeCell ref="B33:B34"/>
    <mergeCell ref="B35:B36"/>
  </mergeCells>
  <conditionalFormatting sqref="B5">
    <cfRule type="colorScale" priority="14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21" priority="1430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81:T81 D83:T83 D77:T77 D79:T79 D95:T95 D97:T97 D99:T99 D91:T91 D93:T93 D49:T49 D57:T57 D89:T89 D75:T75 D61:T61 D85:T85">
    <cfRule type="cellIs" dxfId="120" priority="833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D86:T86 D84:T84 D82:T82 D76:T76 D78:T78 D80:T80 D100:T100 D98:T98 D96:T96 D94:T94 D58:T58 D50:T50 D90:T90 D92:T92">
    <cfRule type="cellIs" dxfId="119" priority="821" operator="greaterThan">
      <formula>0</formula>
    </cfRule>
  </conditionalFormatting>
  <conditionalFormatting sqref="H5">
    <cfRule type="colorScale" priority="6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8" priority="608" stopIfTrue="1" operator="greaterThan">
      <formula>0</formula>
    </cfRule>
  </conditionalFormatting>
  <conditionalFormatting sqref="L20:T20">
    <cfRule type="cellIs" dxfId="117" priority="572" operator="greaterThan">
      <formula>0</formula>
    </cfRule>
  </conditionalFormatting>
  <conditionalFormatting sqref="L19:Q19 S19">
    <cfRule type="cellIs" dxfId="116" priority="574" operator="greaterThan">
      <formula>0</formula>
    </cfRule>
  </conditionalFormatting>
  <conditionalFormatting sqref="U11 U13 U15 U17 U21">
    <cfRule type="cellIs" dxfId="115" priority="405" operator="greaterThan">
      <formula>0</formula>
    </cfRule>
  </conditionalFormatting>
  <conditionalFormatting sqref="U12 U14 U16 U18 U22">
    <cfRule type="cellIs" dxfId="114" priority="404" operator="greaterThan">
      <formula>0</formula>
    </cfRule>
  </conditionalFormatting>
  <conditionalFormatting sqref="U85">
    <cfRule type="cellIs" dxfId="113" priority="379" operator="greaterThan">
      <formula>0</formula>
    </cfRule>
  </conditionalFormatting>
  <conditionalFormatting sqref="U99 U97 U95 U93 U91 U83 U81 U79 U77 U75 U71 U69 U67 U65 U63 U61 U57 U49 U47 U45 U43 U41 U19 U89">
    <cfRule type="cellIs" dxfId="112" priority="353" operator="greaterThan">
      <formula>0</formula>
    </cfRule>
  </conditionalFormatting>
  <conditionalFormatting sqref="U100 U98 U96 U94 U92 U90 U86 U84 U82 U80 U78 U76 U72 U70 U68 U66 U64 U62 U58 U50 U48 U46 U44 U42 U20">
    <cfRule type="cellIs" dxfId="111" priority="352" operator="greaterThan">
      <formula>0</formula>
    </cfRule>
  </conditionalFormatting>
  <conditionalFormatting sqref="R19">
    <cfRule type="cellIs" dxfId="110" priority="332" operator="greaterThan">
      <formula>0</formula>
    </cfRule>
  </conditionalFormatting>
  <conditionalFormatting sqref="T19">
    <cfRule type="cellIs" dxfId="109" priority="339" operator="greaterThan">
      <formula>0</formula>
    </cfRule>
  </conditionalFormatting>
  <conditionalFormatting sqref="H5">
    <cfRule type="colorScale" priority="2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8" priority="252" stopIfTrue="1" operator="greaterThan">
      <formula>0</formula>
    </cfRule>
  </conditionalFormatting>
  <conditionalFormatting sqref="E6:E7">
    <cfRule type="cellIs" dxfId="107" priority="251" stopIfTrue="1" operator="greaterThan">
      <formula>0</formula>
    </cfRule>
  </conditionalFormatting>
  <conditionalFormatting sqref="D13 D15 D11">
    <cfRule type="cellIs" dxfId="106" priority="240" operator="greaterThan">
      <formula>0</formula>
    </cfRule>
  </conditionalFormatting>
  <conditionalFormatting sqref="D16 D12 D14">
    <cfRule type="cellIs" dxfId="105" priority="239" operator="greaterThan">
      <formula>0</formula>
    </cfRule>
  </conditionalFormatting>
  <conditionalFormatting sqref="E19:K19 E21:K21 E17:K17">
    <cfRule type="cellIs" dxfId="104" priority="232" operator="greaterThan">
      <formula>0</formula>
    </cfRule>
  </conditionalFormatting>
  <conditionalFormatting sqref="E22:K22 E18:K18 E20:K20">
    <cfRule type="cellIs" dxfId="103" priority="231" operator="greaterThan">
      <formula>0</formula>
    </cfRule>
  </conditionalFormatting>
  <conditionalFormatting sqref="D19 D21 D17">
    <cfRule type="cellIs" dxfId="102" priority="230" operator="greaterThan">
      <formula>0</formula>
    </cfRule>
  </conditionalFormatting>
  <conditionalFormatting sqref="D22 D18 D20">
    <cfRule type="cellIs" dxfId="101" priority="229" operator="greaterThan">
      <formula>0</formula>
    </cfRule>
  </conditionalFormatting>
  <conditionalFormatting sqref="F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0" priority="177" stopIfTrue="1" operator="greaterThan">
      <formula>0</formula>
    </cfRule>
  </conditionalFormatting>
  <conditionalFormatting sqref="F5">
    <cfRule type="colorScale" priority="1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9" priority="175" stopIfTrue="1" operator="greaterThan">
      <formula>0</formula>
    </cfRule>
  </conditionalFormatting>
  <conditionalFormatting sqref="D5">
    <cfRule type="colorScale" priority="1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98" priority="173" stopIfTrue="1" operator="greaterThan">
      <formula>0</formula>
    </cfRule>
  </conditionalFormatting>
  <conditionalFormatting sqref="D5">
    <cfRule type="colorScale" priority="1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97" priority="171" stopIfTrue="1" operator="greaterThan">
      <formula>0</formula>
    </cfRule>
  </conditionalFormatting>
  <conditionalFormatting sqref="G6:G7">
    <cfRule type="cellIs" dxfId="96" priority="170" stopIfTrue="1" operator="greaterThan">
      <formula>0</formula>
    </cfRule>
  </conditionalFormatting>
  <conditionalFormatting sqref="H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5" priority="168" stopIfTrue="1" operator="greaterThan">
      <formula>0</formula>
    </cfRule>
  </conditionalFormatting>
  <conditionalFormatting sqref="H5">
    <cfRule type="colorScale" priority="1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4" priority="166" stopIfTrue="1" operator="greaterThan">
      <formula>0</formula>
    </cfRule>
  </conditionalFormatting>
  <conditionalFormatting sqref="F5">
    <cfRule type="colorScale" priority="1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3" priority="164" stopIfTrue="1" operator="greaterThan">
      <formula>0</formula>
    </cfRule>
  </conditionalFormatting>
  <conditionalFormatting sqref="F5">
    <cfRule type="colorScale" priority="1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2" priority="162" stopIfTrue="1" operator="greaterThan">
      <formula>0</formula>
    </cfRule>
  </conditionalFormatting>
  <conditionalFormatting sqref="G6:G7">
    <cfRule type="cellIs" dxfId="91" priority="161" stopIfTrue="1" operator="greaterThan">
      <formula>0</formula>
    </cfRule>
  </conditionalFormatting>
  <conditionalFormatting sqref="H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0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9" priority="157" stopIfTrue="1" operator="greaterThan">
      <formula>0</formula>
    </cfRule>
  </conditionalFormatting>
  <conditionalFormatting sqref="F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8" priority="155" stopIfTrue="1" operator="greaterThan">
      <formula>0</formula>
    </cfRule>
  </conditionalFormatting>
  <conditionalFormatting sqref="F5">
    <cfRule type="colorScale" priority="1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7" priority="153" stopIfTrue="1" operator="greaterThan">
      <formula>0</formula>
    </cfRule>
  </conditionalFormatting>
  <conditionalFormatting sqref="H5">
    <cfRule type="colorScale" priority="1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6" priority="151" stopIfTrue="1" operator="greaterThan">
      <formula>0</formula>
    </cfRule>
  </conditionalFormatting>
  <conditionalFormatting sqref="H5">
    <cfRule type="colorScale" priority="1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5" priority="149" stopIfTrue="1" operator="greaterThan">
      <formula>0</formula>
    </cfRule>
  </conditionalFormatting>
  <conditionalFormatting sqref="G6:G7">
    <cfRule type="cellIs" dxfId="84" priority="148" stopIfTrue="1" operator="greaterThan">
      <formula>0</formula>
    </cfRule>
  </conditionalFormatting>
  <conditionalFormatting sqref="H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2" priority="144" stopIfTrue="1" operator="greaterThan">
      <formula>0</formula>
    </cfRule>
  </conditionalFormatting>
  <conditionalFormatting sqref="F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1" priority="142" stopIfTrue="1" operator="greaterThan">
      <formula>0</formula>
    </cfRule>
  </conditionalFormatting>
  <conditionalFormatting sqref="F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0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9" priority="138" stopIfTrue="1" operator="greaterThan">
      <formula>0</formula>
    </cfRule>
  </conditionalFormatting>
  <conditionalFormatting sqref="H5">
    <cfRule type="colorScale" priority="1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8" priority="136" stopIfTrue="1" operator="greaterThan">
      <formula>0</formula>
    </cfRule>
  </conditionalFormatting>
  <conditionalFormatting sqref="H5">
    <cfRule type="colorScale" priority="1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7" priority="134" stopIfTrue="1" operator="greaterThan">
      <formula>0</formula>
    </cfRule>
  </conditionalFormatting>
  <conditionalFormatting sqref="H5">
    <cfRule type="colorScale" priority="1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76" priority="132" stopIfTrue="1" operator="greaterThan">
      <formula>0</formula>
    </cfRule>
  </conditionalFormatting>
  <conditionalFormatting sqref="M6:M7">
    <cfRule type="cellIs" dxfId="75" priority="131" stopIfTrue="1" operator="greaterThan">
      <formula>0</formula>
    </cfRule>
  </conditionalFormatting>
  <conditionalFormatting sqref="N5">
    <cfRule type="colorScale" priority="1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4" priority="129" stopIfTrue="1" operator="greaterThan">
      <formula>0</formula>
    </cfRule>
  </conditionalFormatting>
  <conditionalFormatting sqref="N5">
    <cfRule type="colorScale" priority="12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3" priority="127" stopIfTrue="1" operator="greaterThan">
      <formula>0</formula>
    </cfRule>
  </conditionalFormatting>
  <conditionalFormatting sqref="K6:K7">
    <cfRule type="cellIs" dxfId="72" priority="126" stopIfTrue="1" operator="greaterThan">
      <formula>0</formula>
    </cfRule>
  </conditionalFormatting>
  <conditionalFormatting sqref="L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1" priority="124" stopIfTrue="1" operator="greaterThan">
      <formula>0</formula>
    </cfRule>
  </conditionalFormatting>
  <conditionalFormatting sqref="L5">
    <cfRule type="colorScale" priority="12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0" priority="122" stopIfTrue="1" operator="greaterThan">
      <formula>0</formula>
    </cfRule>
  </conditionalFormatting>
  <conditionalFormatting sqref="J5">
    <cfRule type="colorScale" priority="12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69" priority="120" stopIfTrue="1" operator="greaterThan">
      <formula>0</formula>
    </cfRule>
  </conditionalFormatting>
  <conditionalFormatting sqref="J5">
    <cfRule type="colorScale" priority="11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68" priority="118" stopIfTrue="1" operator="greaterThan">
      <formula>0</formula>
    </cfRule>
  </conditionalFormatting>
  <conditionalFormatting sqref="M6:M7">
    <cfRule type="cellIs" dxfId="67" priority="117" stopIfTrue="1" operator="greaterThan">
      <formula>0</formula>
    </cfRule>
  </conditionalFormatting>
  <conditionalFormatting sqref="N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6" priority="115" stopIfTrue="1" operator="greaterThan">
      <formula>0</formula>
    </cfRule>
  </conditionalFormatting>
  <conditionalFormatting sqref="N5">
    <cfRule type="colorScale" priority="1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5" priority="113" stopIfTrue="1" operator="greaterThan">
      <formula>0</formula>
    </cfRule>
  </conditionalFormatting>
  <conditionalFormatting sqref="L5">
    <cfRule type="colorScale" priority="11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4" priority="111" stopIfTrue="1" operator="greaterThan">
      <formula>0</formula>
    </cfRule>
  </conditionalFormatting>
  <conditionalFormatting sqref="L5">
    <cfRule type="colorScale" priority="11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3" priority="109" stopIfTrue="1" operator="greaterThan">
      <formula>0</formula>
    </cfRule>
  </conditionalFormatting>
  <conditionalFormatting sqref="M6:M7">
    <cfRule type="cellIs" dxfId="62" priority="108" stopIfTrue="1" operator="greaterThan">
      <formula>0</formula>
    </cfRule>
  </conditionalFormatting>
  <conditionalFormatting sqref="N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1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0" priority="104" stopIfTrue="1" operator="greaterThan">
      <formula>0</formula>
    </cfRule>
  </conditionalFormatting>
  <conditionalFormatting sqref="L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9" priority="102" stopIfTrue="1" operator="greaterThan">
      <formula>0</formula>
    </cfRule>
  </conditionalFormatting>
  <conditionalFormatting sqref="L5">
    <cfRule type="colorScale" priority="10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8" priority="100" stopIfTrue="1" operator="greaterThan">
      <formula>0</formula>
    </cfRule>
  </conditionalFormatting>
  <conditionalFormatting sqref="N5">
    <cfRule type="colorScale" priority="9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7" priority="98" stopIfTrue="1" operator="greaterThan">
      <formula>0</formula>
    </cfRule>
  </conditionalFormatting>
  <conditionalFormatting sqref="N5">
    <cfRule type="colorScale" priority="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6" priority="96" stopIfTrue="1" operator="greaterThan">
      <formula>0</formula>
    </cfRule>
  </conditionalFormatting>
  <conditionalFormatting sqref="M6:M7">
    <cfRule type="cellIs" dxfId="55" priority="95" stopIfTrue="1" operator="greaterThan">
      <formula>0</formula>
    </cfRule>
  </conditionalFormatting>
  <conditionalFormatting sqref="N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3" priority="91" stopIfTrue="1" operator="greaterThan">
      <formula>0</formula>
    </cfRule>
  </conditionalFormatting>
  <conditionalFormatting sqref="L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2" priority="89" stopIfTrue="1" operator="greaterThan">
      <formula>0</formula>
    </cfRule>
  </conditionalFormatting>
  <conditionalFormatting sqref="L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1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0" priority="85" stopIfTrue="1" operator="greaterThan">
      <formula>0</formula>
    </cfRule>
  </conditionalFormatting>
  <conditionalFormatting sqref="N5">
    <cfRule type="colorScale" priority="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9" priority="83" stopIfTrue="1" operator="greaterThan">
      <formula>0</formula>
    </cfRule>
  </conditionalFormatting>
  <conditionalFormatting sqref="N5">
    <cfRule type="colorScale" priority="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8" priority="81" stopIfTrue="1" operator="greaterThan">
      <formula>0</formula>
    </cfRule>
  </conditionalFormatting>
  <conditionalFormatting sqref="N5">
    <cfRule type="colorScale" priority="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47" priority="79" stopIfTrue="1" operator="greaterThan">
      <formula>0</formula>
    </cfRule>
  </conditionalFormatting>
  <conditionalFormatting sqref="S6:S7">
    <cfRule type="cellIs" dxfId="46" priority="78" stopIfTrue="1" operator="greaterThan">
      <formula>0</formula>
    </cfRule>
  </conditionalFormatting>
  <conditionalFormatting sqref="T5">
    <cfRule type="colorScale" priority="7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5" priority="76" stopIfTrue="1" operator="greaterThan">
      <formula>0</formula>
    </cfRule>
  </conditionalFormatting>
  <conditionalFormatting sqref="T5">
    <cfRule type="colorScale" priority="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4" priority="74" stopIfTrue="1" operator="greaterThan">
      <formula>0</formula>
    </cfRule>
  </conditionalFormatting>
  <conditionalFormatting sqref="Q6:Q7">
    <cfRule type="cellIs" dxfId="43" priority="73" stopIfTrue="1" operator="greaterThan">
      <formula>0</formula>
    </cfRule>
  </conditionalFormatting>
  <conditionalFormatting sqref="R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2" priority="71" stopIfTrue="1" operator="greaterThan">
      <formula>0</formula>
    </cfRule>
  </conditionalFormatting>
  <conditionalFormatting sqref="R5">
    <cfRule type="colorScale" priority="7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1" priority="69" stopIfTrue="1" operator="greaterThan">
      <formula>0</formula>
    </cfRule>
  </conditionalFormatting>
  <conditionalFormatting sqref="P5">
    <cfRule type="colorScale" priority="6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0" priority="67" stopIfTrue="1" operator="greaterThan">
      <formula>0</formula>
    </cfRule>
  </conditionalFormatting>
  <conditionalFormatting sqref="P5">
    <cfRule type="colorScale" priority="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39" priority="65" stopIfTrue="1" operator="greaterThan">
      <formula>0</formula>
    </cfRule>
  </conditionalFormatting>
  <conditionalFormatting sqref="S6:S7">
    <cfRule type="cellIs" dxfId="38" priority="64" stopIfTrue="1" operator="greaterThan">
      <formula>0</formula>
    </cfRule>
  </conditionalFormatting>
  <conditionalFormatting sqref="T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7" priority="62" stopIfTrue="1" operator="greaterThan">
      <formula>0</formula>
    </cfRule>
  </conditionalFormatting>
  <conditionalFormatting sqref="T5">
    <cfRule type="colorScale" priority="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6" priority="60" stopIfTrue="1" operator="greaterThan">
      <formula>0</formula>
    </cfRule>
  </conditionalFormatting>
  <conditionalFormatting sqref="R5">
    <cfRule type="colorScale" priority="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5" priority="58" stopIfTrue="1" operator="greaterThan">
      <formula>0</formula>
    </cfRule>
  </conditionalFormatting>
  <conditionalFormatting sqref="R5">
    <cfRule type="colorScale" priority="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4" priority="56" stopIfTrue="1" operator="greaterThan">
      <formula>0</formula>
    </cfRule>
  </conditionalFormatting>
  <conditionalFormatting sqref="S6:S7">
    <cfRule type="cellIs" dxfId="33" priority="55" stopIfTrue="1" operator="greaterThan">
      <formula>0</formula>
    </cfRule>
  </conditionalFormatting>
  <conditionalFormatting sqref="T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2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1" priority="51" stopIfTrue="1" operator="greaterThan">
      <formula>0</formula>
    </cfRule>
  </conditionalFormatting>
  <conditionalFormatting sqref="R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0" priority="49" stopIfTrue="1" operator="greaterThan">
      <formula>0</formula>
    </cfRule>
  </conditionalFormatting>
  <conditionalFormatting sqref="R5">
    <cfRule type="colorScale" priority="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9" priority="47" stopIfTrue="1" operator="greaterThan">
      <formula>0</formula>
    </cfRule>
  </conditionalFormatting>
  <conditionalFormatting sqref="T5">
    <cfRule type="colorScale" priority="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8" priority="45" stopIfTrue="1" operator="greaterThan">
      <formula>0</formula>
    </cfRule>
  </conditionalFormatting>
  <conditionalFormatting sqref="T5">
    <cfRule type="colorScale" priority="4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7" priority="43" stopIfTrue="1" operator="greaterThan">
      <formula>0</formula>
    </cfRule>
  </conditionalFormatting>
  <conditionalFormatting sqref="S6:S7">
    <cfRule type="cellIs" dxfId="26" priority="42" stopIfTrue="1" operator="greaterThan">
      <formula>0</formula>
    </cfRule>
  </conditionalFormatting>
  <conditionalFormatting sqref="T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4" priority="38" stopIfTrue="1" operator="greaterThan">
      <formula>0</formula>
    </cfRule>
  </conditionalFormatting>
  <conditionalFormatting sqref="R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3" priority="36" stopIfTrue="1" operator="greaterThan">
      <formula>0</formula>
    </cfRule>
  </conditionalFormatting>
  <conditionalFormatting sqref="R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2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1" priority="32" stopIfTrue="1" operator="greaterThan">
      <formula>0</formula>
    </cfRule>
  </conditionalFormatting>
  <conditionalFormatting sqref="T5">
    <cfRule type="colorScale" priority="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0" priority="30" stopIfTrue="1" operator="greaterThan">
      <formula>0</formula>
    </cfRule>
  </conditionalFormatting>
  <conditionalFormatting sqref="T5">
    <cfRule type="colorScale" priority="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9" priority="28" stopIfTrue="1" operator="greaterThan">
      <formula>0</formula>
    </cfRule>
  </conditionalFormatting>
  <conditionalFormatting sqref="T5">
    <cfRule type="colorScale" priority="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18" priority="26" stopIfTrue="1" operator="greaterThan">
      <formula>0</formula>
    </cfRule>
  </conditionalFormatting>
  <conditionalFormatting sqref="D51:T51">
    <cfRule type="cellIs" dxfId="17" priority="25" operator="greaterThan">
      <formula>0</formula>
    </cfRule>
  </conditionalFormatting>
  <conditionalFormatting sqref="U51">
    <cfRule type="cellIs" dxfId="16" priority="23" operator="greaterThan">
      <formula>0</formula>
    </cfRule>
  </conditionalFormatting>
  <conditionalFormatting sqref="U52">
    <cfRule type="cellIs" dxfId="15" priority="22" operator="greaterThan">
      <formula>0</formula>
    </cfRule>
  </conditionalFormatting>
  <conditionalFormatting sqref="D53:T53">
    <cfRule type="cellIs" dxfId="14" priority="21" operator="greaterThan">
      <formula>0</formula>
    </cfRule>
  </conditionalFormatting>
  <conditionalFormatting sqref="D54:T54">
    <cfRule type="cellIs" dxfId="13" priority="14" operator="greaterThan">
      <formula>0</formula>
    </cfRule>
  </conditionalFormatting>
  <conditionalFormatting sqref="D52:T52">
    <cfRule type="cellIs" dxfId="12" priority="16" operator="greaterThan">
      <formula>0</formula>
    </cfRule>
  </conditionalFormatting>
  <conditionalFormatting sqref="D55:T55">
    <cfRule type="cellIs" dxfId="11" priority="13" operator="greaterThan">
      <formula>0</formula>
    </cfRule>
  </conditionalFormatting>
  <conditionalFormatting sqref="D56:T56">
    <cfRule type="cellIs" dxfId="10" priority="12" operator="greaterThan">
      <formula>0</formula>
    </cfRule>
  </conditionalFormatting>
  <conditionalFormatting sqref="U55">
    <cfRule type="cellIs" dxfId="9" priority="11" operator="greaterThan">
      <formula>0</formula>
    </cfRule>
  </conditionalFormatting>
  <conditionalFormatting sqref="U56">
    <cfRule type="cellIs" dxfId="8" priority="10" operator="greaterThan">
      <formula>0</formula>
    </cfRule>
  </conditionalFormatting>
  <conditionalFormatting sqref="U54">
    <cfRule type="cellIs" dxfId="7" priority="9" operator="greaterThan">
      <formula>0</formula>
    </cfRule>
  </conditionalFormatting>
  <conditionalFormatting sqref="U53">
    <cfRule type="cellIs" dxfId="6" priority="8" operator="greaterThan">
      <formula>0</formula>
    </cfRule>
  </conditionalFormatting>
  <conditionalFormatting sqref="D39:T39">
    <cfRule type="cellIs" dxfId="5" priority="7" operator="greaterThan">
      <formula>0</formula>
    </cfRule>
  </conditionalFormatting>
  <conditionalFormatting sqref="D40:T40">
    <cfRule type="cellIs" dxfId="4" priority="3" operator="greaterThan">
      <formula>0</formula>
    </cfRule>
  </conditionalFormatting>
  <conditionalFormatting sqref="U40">
    <cfRule type="cellIs" dxfId="3" priority="2" operator="greaterThan">
      <formula>0</formula>
    </cfRule>
  </conditionalFormatting>
  <conditionalFormatting sqref="U39">
    <cfRule type="cellIs" dxfId="2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zoomScale="70" zoomScaleNormal="70" workbookViewId="0">
      <selection activeCell="BI15" sqref="BI15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10.7109375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6.42578125" customWidth="1"/>
  </cols>
  <sheetData>
    <row r="2" spans="2:65" ht="15.75" thickBot="1" x14ac:dyDescent="0.3"/>
    <row r="3" spans="2:65" s="87" customFormat="1" ht="66.75" customHeight="1" x14ac:dyDescent="0.25">
      <c r="B3" s="130" t="s">
        <v>71</v>
      </c>
      <c r="C3" s="128">
        <f>Base!B3</f>
        <v>44228</v>
      </c>
      <c r="D3" s="129">
        <f>C3+1</f>
        <v>44229</v>
      </c>
      <c r="E3" s="129">
        <f t="shared" ref="E3:BG3" si="0">D3+1</f>
        <v>44230</v>
      </c>
      <c r="F3" s="129">
        <f t="shared" si="0"/>
        <v>44231</v>
      </c>
      <c r="G3" s="129">
        <f t="shared" si="0"/>
        <v>44232</v>
      </c>
      <c r="H3" s="129">
        <f t="shared" si="0"/>
        <v>44233</v>
      </c>
      <c r="I3" s="129">
        <f t="shared" si="0"/>
        <v>44234</v>
      </c>
      <c r="J3" s="129">
        <f t="shared" si="0"/>
        <v>44235</v>
      </c>
      <c r="K3" s="129">
        <f t="shared" si="0"/>
        <v>44236</v>
      </c>
      <c r="L3" s="129">
        <f t="shared" si="0"/>
        <v>44237</v>
      </c>
      <c r="M3" s="129">
        <f t="shared" si="0"/>
        <v>44238</v>
      </c>
      <c r="N3" s="129">
        <f t="shared" si="0"/>
        <v>44239</v>
      </c>
      <c r="O3" s="129">
        <f t="shared" si="0"/>
        <v>44240</v>
      </c>
      <c r="P3" s="129">
        <f t="shared" si="0"/>
        <v>44241</v>
      </c>
      <c r="Q3" s="129">
        <f t="shared" si="0"/>
        <v>44242</v>
      </c>
      <c r="R3" s="129">
        <f t="shared" si="0"/>
        <v>44243</v>
      </c>
      <c r="S3" s="129">
        <f t="shared" si="0"/>
        <v>44244</v>
      </c>
      <c r="T3" s="129">
        <f t="shared" si="0"/>
        <v>44245</v>
      </c>
      <c r="U3" s="129">
        <f t="shared" si="0"/>
        <v>44246</v>
      </c>
      <c r="V3" s="129">
        <f t="shared" si="0"/>
        <v>44247</v>
      </c>
      <c r="W3" s="129">
        <f t="shared" si="0"/>
        <v>44248</v>
      </c>
      <c r="X3" s="129">
        <f t="shared" si="0"/>
        <v>44249</v>
      </c>
      <c r="Y3" s="129">
        <f t="shared" si="0"/>
        <v>44250</v>
      </c>
      <c r="Z3" s="129">
        <f t="shared" si="0"/>
        <v>44251</v>
      </c>
      <c r="AA3" s="129">
        <f t="shared" si="0"/>
        <v>44252</v>
      </c>
      <c r="AB3" s="129">
        <f t="shared" si="0"/>
        <v>44253</v>
      </c>
      <c r="AC3" s="129">
        <f t="shared" si="0"/>
        <v>44254</v>
      </c>
      <c r="AD3" s="129">
        <f t="shared" si="0"/>
        <v>44255</v>
      </c>
      <c r="AE3" s="129">
        <f t="shared" si="0"/>
        <v>44256</v>
      </c>
      <c r="AF3" s="129">
        <f t="shared" si="0"/>
        <v>44257</v>
      </c>
      <c r="AG3" s="129">
        <f t="shared" si="0"/>
        <v>44258</v>
      </c>
      <c r="AH3" s="129">
        <f t="shared" si="0"/>
        <v>44259</v>
      </c>
      <c r="AI3" s="129">
        <f t="shared" si="0"/>
        <v>44260</v>
      </c>
      <c r="AJ3" s="129">
        <f t="shared" si="0"/>
        <v>44261</v>
      </c>
      <c r="AK3" s="129">
        <f t="shared" si="0"/>
        <v>44262</v>
      </c>
      <c r="AL3" s="129">
        <f t="shared" si="0"/>
        <v>44263</v>
      </c>
      <c r="AM3" s="129">
        <f t="shared" si="0"/>
        <v>44264</v>
      </c>
      <c r="AN3" s="129">
        <f t="shared" si="0"/>
        <v>44265</v>
      </c>
      <c r="AO3" s="129">
        <f t="shared" si="0"/>
        <v>44266</v>
      </c>
      <c r="AP3" s="129">
        <f t="shared" si="0"/>
        <v>44267</v>
      </c>
      <c r="AQ3" s="129">
        <f t="shared" si="0"/>
        <v>44268</v>
      </c>
      <c r="AR3" s="129">
        <f t="shared" si="0"/>
        <v>44269</v>
      </c>
      <c r="AS3" s="129">
        <f t="shared" si="0"/>
        <v>44270</v>
      </c>
      <c r="AT3" s="129">
        <f t="shared" si="0"/>
        <v>44271</v>
      </c>
      <c r="AU3" s="129">
        <f t="shared" si="0"/>
        <v>44272</v>
      </c>
      <c r="AV3" s="129">
        <f t="shared" si="0"/>
        <v>44273</v>
      </c>
      <c r="AW3" s="129">
        <f t="shared" si="0"/>
        <v>44274</v>
      </c>
      <c r="AX3" s="129">
        <f t="shared" si="0"/>
        <v>44275</v>
      </c>
      <c r="AY3" s="129">
        <f t="shared" si="0"/>
        <v>44276</v>
      </c>
      <c r="AZ3" s="136">
        <f t="shared" si="0"/>
        <v>44277</v>
      </c>
      <c r="BA3" s="136">
        <f t="shared" si="0"/>
        <v>44278</v>
      </c>
      <c r="BB3" s="136">
        <f t="shared" si="0"/>
        <v>44279</v>
      </c>
      <c r="BC3" s="136">
        <f t="shared" si="0"/>
        <v>44280</v>
      </c>
      <c r="BD3" s="136">
        <f t="shared" si="0"/>
        <v>44281</v>
      </c>
      <c r="BE3" s="136">
        <f t="shared" si="0"/>
        <v>44282</v>
      </c>
      <c r="BF3" s="136">
        <f t="shared" si="0"/>
        <v>44283</v>
      </c>
      <c r="BG3" s="135">
        <f t="shared" si="0"/>
        <v>44284</v>
      </c>
      <c r="BH3" s="133"/>
      <c r="BI3" s="133"/>
      <c r="BJ3" s="133"/>
      <c r="BK3" s="133"/>
      <c r="BL3" s="133"/>
      <c r="BM3" s="133"/>
    </row>
    <row r="4" spans="2:65" s="132" customFormat="1" ht="15.75" customHeight="1" thickBot="1" x14ac:dyDescent="0.3">
      <c r="B4" s="131" t="s">
        <v>65</v>
      </c>
      <c r="C4" s="191">
        <f>WEEKNUM(C3,1)</f>
        <v>6</v>
      </c>
      <c r="D4" s="191"/>
      <c r="E4" s="191"/>
      <c r="F4" s="191"/>
      <c r="G4" s="191"/>
      <c r="H4" s="191"/>
      <c r="I4" s="191"/>
      <c r="J4" s="191">
        <f t="shared" ref="J4" si="1">WEEKNUM(J3,1)</f>
        <v>7</v>
      </c>
      <c r="K4" s="191"/>
      <c r="L4" s="191"/>
      <c r="M4" s="191"/>
      <c r="N4" s="191"/>
      <c r="O4" s="191"/>
      <c r="P4" s="191"/>
      <c r="Q4" s="191">
        <f t="shared" ref="Q4" si="2">WEEKNUM(Q3,1)</f>
        <v>8</v>
      </c>
      <c r="R4" s="191"/>
      <c r="S4" s="191"/>
      <c r="T4" s="191"/>
      <c r="U4" s="191"/>
      <c r="V4" s="191"/>
      <c r="W4" s="191"/>
      <c r="X4" s="191">
        <f t="shared" ref="X4" si="3">WEEKNUM(X3,1)</f>
        <v>9</v>
      </c>
      <c r="Y4" s="191"/>
      <c r="Z4" s="191"/>
      <c r="AA4" s="191"/>
      <c r="AB4" s="191"/>
      <c r="AC4" s="191"/>
      <c r="AD4" s="191"/>
      <c r="AE4" s="191">
        <f t="shared" ref="AE4" si="4">WEEKNUM(AE3,1)</f>
        <v>10</v>
      </c>
      <c r="AF4" s="191"/>
      <c r="AG4" s="191"/>
      <c r="AH4" s="191"/>
      <c r="AI4" s="191"/>
      <c r="AJ4" s="191"/>
      <c r="AK4" s="191"/>
      <c r="AL4" s="191">
        <f t="shared" ref="AL4" si="5">WEEKNUM(AL3,1)</f>
        <v>11</v>
      </c>
      <c r="AM4" s="191"/>
      <c r="AN4" s="191"/>
      <c r="AO4" s="191"/>
      <c r="AP4" s="191"/>
      <c r="AQ4" s="191"/>
      <c r="AR4" s="191"/>
      <c r="AS4" s="191">
        <f t="shared" ref="AS4" si="6">WEEKNUM(AS3,1)</f>
        <v>12</v>
      </c>
      <c r="AT4" s="191"/>
      <c r="AU4" s="191"/>
      <c r="AV4" s="191"/>
      <c r="AW4" s="191"/>
      <c r="AX4" s="191"/>
      <c r="AY4" s="191"/>
      <c r="AZ4" s="191">
        <f t="shared" ref="AZ4" si="7">WEEKNUM(AZ3,1)</f>
        <v>13</v>
      </c>
      <c r="BA4" s="191"/>
      <c r="BB4" s="191"/>
      <c r="BC4" s="191"/>
      <c r="BD4" s="191"/>
      <c r="BE4" s="191"/>
      <c r="BF4" s="191"/>
      <c r="BG4" s="137">
        <f>WEEKNUM(BG3,1)</f>
        <v>14</v>
      </c>
      <c r="BH4" s="134"/>
      <c r="BI4" s="134"/>
      <c r="BJ4" s="134"/>
      <c r="BK4" s="134"/>
      <c r="BL4" s="134"/>
      <c r="BM4" s="134"/>
    </row>
    <row r="5" spans="2:65" s="87" customFormat="1" ht="15.75" customHeight="1" x14ac:dyDescent="0.25">
      <c r="B5" s="192" t="str">
        <f>Base!F3</f>
        <v>1 Analyse</v>
      </c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93"/>
      <c r="AL5" s="193"/>
      <c r="AM5" s="193"/>
      <c r="AN5" s="193"/>
      <c r="AO5" s="193"/>
      <c r="AP5" s="193"/>
      <c r="AQ5" s="193"/>
      <c r="AR5" s="193"/>
      <c r="AS5" s="193"/>
      <c r="AT5" s="193"/>
      <c r="AU5" s="193"/>
      <c r="AV5" s="193"/>
      <c r="AW5" s="193"/>
      <c r="AX5" s="193"/>
      <c r="AY5" s="193"/>
      <c r="AZ5" s="193"/>
      <c r="BA5" s="193"/>
      <c r="BB5" s="193"/>
      <c r="BC5" s="193"/>
      <c r="BD5" s="193"/>
      <c r="BE5" s="193"/>
      <c r="BF5" s="193"/>
      <c r="BG5" s="194"/>
    </row>
    <row r="6" spans="2:65" s="87" customFormat="1" ht="15.75" customHeight="1" thickBot="1" x14ac:dyDescent="0.3">
      <c r="B6" s="159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0"/>
      <c r="AL6" s="160"/>
      <c r="AM6" s="160"/>
      <c r="AN6" s="160"/>
      <c r="AO6" s="160"/>
      <c r="AP6" s="160"/>
      <c r="AQ6" s="160"/>
      <c r="AR6" s="160"/>
      <c r="AS6" s="160"/>
      <c r="AT6" s="160"/>
      <c r="AU6" s="160"/>
      <c r="AV6" s="160"/>
      <c r="AW6" s="160"/>
      <c r="AX6" s="160"/>
      <c r="AY6" s="160"/>
      <c r="AZ6" s="160"/>
      <c r="BA6" s="160"/>
      <c r="BB6" s="160"/>
      <c r="BC6" s="160"/>
      <c r="BD6" s="160"/>
      <c r="BE6" s="160"/>
      <c r="BF6" s="160"/>
      <c r="BG6" s="161"/>
    </row>
    <row r="7" spans="2:65" ht="15" customHeight="1" x14ac:dyDescent="0.25">
      <c r="B7" s="42" t="str">
        <f>Base!G3</f>
        <v>11 Analyse préliminaire</v>
      </c>
      <c r="C7" s="138"/>
      <c r="D7" s="110"/>
      <c r="E7" s="110"/>
      <c r="F7" s="110"/>
      <c r="G7" s="111"/>
      <c r="H7" s="112"/>
      <c r="I7" s="112"/>
      <c r="J7" s="113"/>
      <c r="K7" s="114"/>
      <c r="L7" s="114"/>
      <c r="M7" s="114"/>
      <c r="N7" s="111"/>
      <c r="O7" s="112"/>
      <c r="P7" s="112"/>
      <c r="Q7" s="113"/>
      <c r="R7" s="114"/>
      <c r="S7" s="114"/>
      <c r="T7" s="114"/>
      <c r="U7" s="111"/>
      <c r="V7" s="182" t="s">
        <v>66</v>
      </c>
      <c r="W7" s="183"/>
      <c r="X7" s="183"/>
      <c r="Y7" s="183"/>
      <c r="Z7" s="183"/>
      <c r="AA7" s="183"/>
      <c r="AB7" s="183"/>
      <c r="AC7" s="183"/>
      <c r="AD7" s="184"/>
      <c r="AE7" s="113"/>
      <c r="AF7" s="114"/>
      <c r="AG7" s="114"/>
      <c r="AH7" s="114"/>
      <c r="AI7" s="111"/>
      <c r="AJ7" s="112"/>
      <c r="AK7" s="112"/>
      <c r="AL7" s="113"/>
      <c r="AM7" s="114"/>
      <c r="AN7" s="114"/>
      <c r="AO7" s="114"/>
      <c r="AP7" s="111"/>
      <c r="AQ7" s="112"/>
      <c r="AR7" s="112"/>
      <c r="AS7" s="113"/>
      <c r="AT7" s="114"/>
      <c r="AU7" s="114"/>
      <c r="AV7" s="114"/>
      <c r="AW7" s="111"/>
      <c r="AX7" s="112"/>
      <c r="AY7" s="112"/>
      <c r="AZ7" s="113"/>
      <c r="BA7" s="114"/>
      <c r="BB7" s="114"/>
      <c r="BC7" s="114"/>
      <c r="BD7" s="111"/>
      <c r="BE7" s="112"/>
      <c r="BF7" s="112"/>
      <c r="BG7" s="115"/>
    </row>
    <row r="8" spans="2:65" x14ac:dyDescent="0.25">
      <c r="B8" s="42" t="str">
        <f>Base!G4</f>
        <v>12 Planification initiale</v>
      </c>
      <c r="C8" s="89"/>
      <c r="D8" s="90"/>
      <c r="E8" s="91"/>
      <c r="F8" s="91"/>
      <c r="G8" s="92"/>
      <c r="H8" s="88"/>
      <c r="I8" s="88"/>
      <c r="J8" s="93"/>
      <c r="K8" s="91"/>
      <c r="L8" s="91"/>
      <c r="M8" s="91"/>
      <c r="N8" s="92"/>
      <c r="O8" s="88"/>
      <c r="P8" s="88"/>
      <c r="Q8" s="93"/>
      <c r="R8" s="91"/>
      <c r="S8" s="91"/>
      <c r="T8" s="91"/>
      <c r="U8" s="92"/>
      <c r="V8" s="185"/>
      <c r="W8" s="186"/>
      <c r="X8" s="186"/>
      <c r="Y8" s="186"/>
      <c r="Z8" s="186"/>
      <c r="AA8" s="186"/>
      <c r="AB8" s="186"/>
      <c r="AC8" s="186"/>
      <c r="AD8" s="187"/>
      <c r="AE8" s="93"/>
      <c r="AF8" s="91"/>
      <c r="AG8" s="91"/>
      <c r="AH8" s="91"/>
      <c r="AI8" s="92"/>
      <c r="AJ8" s="88"/>
      <c r="AK8" s="88"/>
      <c r="AL8" s="93"/>
      <c r="AM8" s="91"/>
      <c r="AN8" s="91"/>
      <c r="AO8" s="91"/>
      <c r="AP8" s="92"/>
      <c r="AQ8" s="88"/>
      <c r="AR8" s="88"/>
      <c r="AS8" s="93"/>
      <c r="AT8" s="91"/>
      <c r="AU8" s="91"/>
      <c r="AV8" s="91"/>
      <c r="AW8" s="92"/>
      <c r="AX8" s="88"/>
      <c r="AY8" s="88"/>
      <c r="AZ8" s="93"/>
      <c r="BA8" s="91"/>
      <c r="BB8" s="91"/>
      <c r="BC8" s="91"/>
      <c r="BD8" s="92"/>
      <c r="BE8" s="88"/>
      <c r="BF8" s="88"/>
      <c r="BG8" s="116"/>
    </row>
    <row r="9" spans="2:65" x14ac:dyDescent="0.25">
      <c r="B9" s="42" t="str">
        <f>Base!G5</f>
        <v>13 Objectifs du projet</v>
      </c>
      <c r="C9" s="93"/>
      <c r="D9" s="94"/>
      <c r="E9" s="94"/>
      <c r="F9" s="94"/>
      <c r="G9" s="95"/>
      <c r="H9" s="88"/>
      <c r="I9" s="88"/>
      <c r="J9" s="93"/>
      <c r="K9" s="91"/>
      <c r="L9" s="91"/>
      <c r="M9" s="91"/>
      <c r="N9" s="92"/>
      <c r="O9" s="88"/>
      <c r="P9" s="88"/>
      <c r="Q9" s="93"/>
      <c r="R9" s="91"/>
      <c r="S9" s="91"/>
      <c r="T9" s="91"/>
      <c r="U9" s="92"/>
      <c r="V9" s="185"/>
      <c r="W9" s="186"/>
      <c r="X9" s="186"/>
      <c r="Y9" s="186"/>
      <c r="Z9" s="186"/>
      <c r="AA9" s="186"/>
      <c r="AB9" s="186"/>
      <c r="AC9" s="186"/>
      <c r="AD9" s="187"/>
      <c r="AE9" s="93"/>
      <c r="AF9" s="91"/>
      <c r="AG9" s="91"/>
      <c r="AH9" s="91"/>
      <c r="AI9" s="92"/>
      <c r="AJ9" s="88"/>
      <c r="AK9" s="88"/>
      <c r="AL9" s="93"/>
      <c r="AM9" s="91"/>
      <c r="AN9" s="91"/>
      <c r="AO9" s="91"/>
      <c r="AP9" s="92"/>
      <c r="AQ9" s="88"/>
      <c r="AR9" s="88"/>
      <c r="AS9" s="93"/>
      <c r="AT9" s="91"/>
      <c r="AU9" s="91"/>
      <c r="AV9" s="91"/>
      <c r="AW9" s="92"/>
      <c r="AX9" s="88"/>
      <c r="AY9" s="88"/>
      <c r="AZ9" s="93"/>
      <c r="BA9" s="91"/>
      <c r="BB9" s="91"/>
      <c r="BC9" s="91"/>
      <c r="BD9" s="92"/>
      <c r="BE9" s="88"/>
      <c r="BF9" s="88"/>
      <c r="BG9" s="116"/>
    </row>
    <row r="10" spans="2:65" x14ac:dyDescent="0.25">
      <c r="B10" s="42" t="str">
        <f>Base!G6</f>
        <v>14 Stratégie de tests</v>
      </c>
      <c r="C10" s="93"/>
      <c r="D10" s="91"/>
      <c r="E10" s="94"/>
      <c r="F10" s="94"/>
      <c r="G10" s="96"/>
      <c r="H10" s="88"/>
      <c r="I10" s="88"/>
      <c r="J10" s="93"/>
      <c r="K10" s="91"/>
      <c r="L10" s="91"/>
      <c r="M10" s="91"/>
      <c r="N10" s="92"/>
      <c r="O10" s="88"/>
      <c r="P10" s="88"/>
      <c r="Q10" s="93"/>
      <c r="R10" s="91"/>
      <c r="S10" s="91"/>
      <c r="T10" s="91"/>
      <c r="U10" s="92"/>
      <c r="V10" s="185"/>
      <c r="W10" s="186"/>
      <c r="X10" s="186"/>
      <c r="Y10" s="186"/>
      <c r="Z10" s="186"/>
      <c r="AA10" s="186"/>
      <c r="AB10" s="186"/>
      <c r="AC10" s="186"/>
      <c r="AD10" s="187"/>
      <c r="AE10" s="93"/>
      <c r="AF10" s="91"/>
      <c r="AG10" s="91"/>
      <c r="AH10" s="91"/>
      <c r="AI10" s="92"/>
      <c r="AJ10" s="88"/>
      <c r="AK10" s="88"/>
      <c r="AL10" s="93"/>
      <c r="AM10" s="91"/>
      <c r="AN10" s="91"/>
      <c r="AO10" s="91"/>
      <c r="AP10" s="92"/>
      <c r="AQ10" s="88"/>
      <c r="AR10" s="88"/>
      <c r="AS10" s="93"/>
      <c r="AT10" s="91"/>
      <c r="AU10" s="91"/>
      <c r="AV10" s="91"/>
      <c r="AW10" s="92"/>
      <c r="AX10" s="88"/>
      <c r="AY10" s="88"/>
      <c r="AZ10" s="93"/>
      <c r="BA10" s="91"/>
      <c r="BB10" s="91"/>
      <c r="BC10" s="91"/>
      <c r="BD10" s="92"/>
      <c r="BE10" s="88"/>
      <c r="BF10" s="88"/>
      <c r="BG10" s="116"/>
    </row>
    <row r="11" spans="2:65" x14ac:dyDescent="0.25">
      <c r="B11" s="42" t="str">
        <f>Base!G7</f>
        <v>15 Risques techniques</v>
      </c>
      <c r="C11" s="93"/>
      <c r="D11" s="91"/>
      <c r="E11" s="94"/>
      <c r="F11" s="94"/>
      <c r="G11" s="96"/>
      <c r="H11" s="88"/>
      <c r="I11" s="88"/>
      <c r="J11" s="93"/>
      <c r="K11" s="91"/>
      <c r="L11" s="91"/>
      <c r="M11" s="91"/>
      <c r="N11" s="92"/>
      <c r="O11" s="88"/>
      <c r="P11" s="88"/>
      <c r="Q11" s="93"/>
      <c r="R11" s="91"/>
      <c r="S11" s="91"/>
      <c r="T11" s="91"/>
      <c r="U11" s="92"/>
      <c r="V11" s="185"/>
      <c r="W11" s="186"/>
      <c r="X11" s="186"/>
      <c r="Y11" s="186"/>
      <c r="Z11" s="186"/>
      <c r="AA11" s="186"/>
      <c r="AB11" s="186"/>
      <c r="AC11" s="186"/>
      <c r="AD11" s="187"/>
      <c r="AE11" s="93"/>
      <c r="AF11" s="91"/>
      <c r="AG11" s="91"/>
      <c r="AH11" s="91"/>
      <c r="AI11" s="92"/>
      <c r="AJ11" s="88"/>
      <c r="AK11" s="88"/>
      <c r="AL11" s="93"/>
      <c r="AM11" s="91"/>
      <c r="AN11" s="91"/>
      <c r="AO11" s="91"/>
      <c r="AP11" s="92"/>
      <c r="AQ11" s="88"/>
      <c r="AR11" s="88"/>
      <c r="AS11" s="93"/>
      <c r="AT11" s="91"/>
      <c r="AU11" s="91"/>
      <c r="AV11" s="91"/>
      <c r="AW11" s="92"/>
      <c r="AX11" s="88"/>
      <c r="AY11" s="88"/>
      <c r="AZ11" s="93"/>
      <c r="BA11" s="91"/>
      <c r="BB11" s="91"/>
      <c r="BC11" s="91"/>
      <c r="BD11" s="92"/>
      <c r="BE11" s="88"/>
      <c r="BF11" s="88"/>
      <c r="BG11" s="116"/>
    </row>
    <row r="12" spans="2:65" ht="15" customHeight="1" thickBot="1" x14ac:dyDescent="0.3">
      <c r="B12" s="42" t="str">
        <f>Base!G8</f>
        <v>16 Planification définitive</v>
      </c>
      <c r="C12" s="93"/>
      <c r="D12" s="91"/>
      <c r="E12" s="91"/>
      <c r="F12" s="91"/>
      <c r="G12" s="96"/>
      <c r="H12" s="88"/>
      <c r="I12" s="88"/>
      <c r="J12" s="93"/>
      <c r="K12" s="91"/>
      <c r="L12" s="91"/>
      <c r="M12" s="91"/>
      <c r="N12" s="92"/>
      <c r="O12" s="88"/>
      <c r="P12" s="88"/>
      <c r="Q12" s="93"/>
      <c r="R12" s="91"/>
      <c r="S12" s="91"/>
      <c r="T12" s="91"/>
      <c r="U12" s="92"/>
      <c r="V12" s="188"/>
      <c r="W12" s="189"/>
      <c r="X12" s="189"/>
      <c r="Y12" s="189"/>
      <c r="Z12" s="189"/>
      <c r="AA12" s="189"/>
      <c r="AB12" s="189"/>
      <c r="AC12" s="189"/>
      <c r="AD12" s="190"/>
      <c r="AE12" s="93"/>
      <c r="AF12" s="91"/>
      <c r="AG12" s="91"/>
      <c r="AH12" s="91"/>
      <c r="AI12" s="92"/>
      <c r="AJ12" s="88"/>
      <c r="AK12" s="88"/>
      <c r="AL12" s="93"/>
      <c r="AM12" s="91"/>
      <c r="AN12" s="91"/>
      <c r="AO12" s="91"/>
      <c r="AP12" s="92"/>
      <c r="AQ12" s="88"/>
      <c r="AR12" s="88"/>
      <c r="AS12" s="93"/>
      <c r="AT12" s="91"/>
      <c r="AU12" s="91"/>
      <c r="AV12" s="91"/>
      <c r="AW12" s="92"/>
      <c r="AX12" s="88"/>
      <c r="AY12" s="88"/>
      <c r="AZ12" s="93"/>
      <c r="BA12" s="91"/>
      <c r="BB12" s="91"/>
      <c r="BC12" s="91"/>
      <c r="BD12" s="92"/>
      <c r="BE12" s="88"/>
      <c r="BF12" s="88"/>
      <c r="BG12" s="116"/>
    </row>
    <row r="13" spans="2:65" ht="15" customHeight="1" x14ac:dyDescent="0.25">
      <c r="B13" s="162" t="str">
        <f>Base!F9</f>
        <v>2 Conception</v>
      </c>
      <c r="C13" s="163"/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  <c r="BB13" s="163"/>
      <c r="BC13" s="163"/>
      <c r="BD13" s="163"/>
      <c r="BE13" s="163"/>
      <c r="BF13" s="163"/>
      <c r="BG13" s="195"/>
    </row>
    <row r="14" spans="2:65" ht="15" customHeight="1" thickBot="1" x14ac:dyDescent="0.3">
      <c r="B14" s="164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165"/>
      <c r="AT14" s="165"/>
      <c r="AU14" s="165"/>
      <c r="AV14" s="165"/>
      <c r="AW14" s="165"/>
      <c r="AX14" s="165"/>
      <c r="AY14" s="165"/>
      <c r="AZ14" s="165"/>
      <c r="BA14" s="165"/>
      <c r="BB14" s="165"/>
      <c r="BC14" s="165"/>
      <c r="BD14" s="165"/>
      <c r="BE14" s="165"/>
      <c r="BF14" s="165"/>
      <c r="BG14" s="196"/>
    </row>
    <row r="15" spans="2:65" ht="15" customHeight="1" x14ac:dyDescent="0.25">
      <c r="B15" s="42" t="str">
        <f>Base!G9</f>
        <v>21 Base de données (MCD, MLD)</v>
      </c>
      <c r="C15" s="93"/>
      <c r="D15" s="91"/>
      <c r="E15" s="91"/>
      <c r="F15" s="91"/>
      <c r="G15" s="92"/>
      <c r="H15" s="88"/>
      <c r="I15" s="88"/>
      <c r="J15" s="101"/>
      <c r="K15" s="102"/>
      <c r="L15" s="102"/>
      <c r="M15" s="90"/>
      <c r="N15" s="95"/>
      <c r="O15" s="88"/>
      <c r="P15" s="88"/>
      <c r="Q15" s="93"/>
      <c r="R15" s="91"/>
      <c r="S15" s="91"/>
      <c r="T15" s="91"/>
      <c r="U15" s="92"/>
      <c r="V15" s="182" t="s">
        <v>67</v>
      </c>
      <c r="W15" s="183"/>
      <c r="X15" s="183"/>
      <c r="Y15" s="183"/>
      <c r="Z15" s="183"/>
      <c r="AA15" s="183"/>
      <c r="AB15" s="183"/>
      <c r="AC15" s="183"/>
      <c r="AD15" s="184"/>
      <c r="AE15" s="93"/>
      <c r="AF15" s="91"/>
      <c r="AG15" s="91"/>
      <c r="AH15" s="91"/>
      <c r="AI15" s="92"/>
      <c r="AJ15" s="88"/>
      <c r="AK15" s="88"/>
      <c r="AL15" s="93"/>
      <c r="AM15" s="91"/>
      <c r="AN15" s="91"/>
      <c r="AO15" s="91"/>
      <c r="AP15" s="92"/>
      <c r="AQ15" s="88"/>
      <c r="AR15" s="88"/>
      <c r="AS15" s="93"/>
      <c r="AT15" s="91"/>
      <c r="AU15" s="91"/>
      <c r="AV15" s="91"/>
      <c r="AW15" s="92"/>
      <c r="AX15" s="88"/>
      <c r="AY15" s="88"/>
      <c r="AZ15" s="93"/>
      <c r="BA15" s="91"/>
      <c r="BB15" s="91"/>
      <c r="BC15" s="91"/>
      <c r="BD15" s="92"/>
      <c r="BE15" s="88"/>
      <c r="BF15" s="88"/>
      <c r="BG15" s="116"/>
    </row>
    <row r="16" spans="2:65" x14ac:dyDescent="0.25">
      <c r="B16" s="42" t="str">
        <f>Base!G10</f>
        <v>22 Maquettes</v>
      </c>
      <c r="C16" s="93"/>
      <c r="D16" s="91"/>
      <c r="E16" s="91"/>
      <c r="F16" s="91"/>
      <c r="G16" s="97"/>
      <c r="H16" s="88"/>
      <c r="I16" s="88"/>
      <c r="J16" s="103"/>
      <c r="K16" s="102"/>
      <c r="L16" s="102"/>
      <c r="M16" s="91"/>
      <c r="N16" s="92"/>
      <c r="O16" s="88"/>
      <c r="P16" s="88"/>
      <c r="Q16" s="93"/>
      <c r="R16" s="91"/>
      <c r="S16" s="91"/>
      <c r="T16" s="91"/>
      <c r="U16" s="92"/>
      <c r="V16" s="185"/>
      <c r="W16" s="186"/>
      <c r="X16" s="186"/>
      <c r="Y16" s="186"/>
      <c r="Z16" s="186"/>
      <c r="AA16" s="186"/>
      <c r="AB16" s="186"/>
      <c r="AC16" s="186"/>
      <c r="AD16" s="187"/>
      <c r="AE16" s="93"/>
      <c r="AF16" s="91"/>
      <c r="AG16" s="91"/>
      <c r="AH16" s="91"/>
      <c r="AI16" s="92"/>
      <c r="AJ16" s="88"/>
      <c r="AK16" s="88"/>
      <c r="AL16" s="93"/>
      <c r="AM16" s="91"/>
      <c r="AN16" s="91"/>
      <c r="AO16" s="91"/>
      <c r="AP16" s="92"/>
      <c r="AQ16" s="88"/>
      <c r="AR16" s="88"/>
      <c r="AS16" s="93"/>
      <c r="AT16" s="91"/>
      <c r="AU16" s="91"/>
      <c r="AV16" s="91"/>
      <c r="AW16" s="92"/>
      <c r="AX16" s="88"/>
      <c r="AY16" s="88"/>
      <c r="AZ16" s="93"/>
      <c r="BA16" s="91"/>
      <c r="BB16" s="91"/>
      <c r="BC16" s="91"/>
      <c r="BD16" s="92"/>
      <c r="BE16" s="88"/>
      <c r="BF16" s="88"/>
      <c r="BG16" s="116"/>
    </row>
    <row r="17" spans="2:59" x14ac:dyDescent="0.25">
      <c r="B17" s="42" t="str">
        <f>Base!G11</f>
        <v>23 Diagrammes</v>
      </c>
      <c r="C17" s="93"/>
      <c r="D17" s="91"/>
      <c r="E17" s="91"/>
      <c r="F17" s="91"/>
      <c r="G17" s="97"/>
      <c r="H17" s="88"/>
      <c r="I17" s="88"/>
      <c r="J17" s="103"/>
      <c r="K17" s="102"/>
      <c r="L17" s="102"/>
      <c r="M17" s="91"/>
      <c r="N17" s="92"/>
      <c r="O17" s="88"/>
      <c r="P17" s="88"/>
      <c r="Q17" s="93"/>
      <c r="R17" s="91"/>
      <c r="S17" s="91"/>
      <c r="T17" s="91"/>
      <c r="U17" s="92"/>
      <c r="V17" s="185"/>
      <c r="W17" s="186"/>
      <c r="X17" s="186"/>
      <c r="Y17" s="186"/>
      <c r="Z17" s="186"/>
      <c r="AA17" s="186"/>
      <c r="AB17" s="186"/>
      <c r="AC17" s="186"/>
      <c r="AD17" s="187"/>
      <c r="AE17" s="93"/>
      <c r="AF17" s="91"/>
      <c r="AG17" s="91"/>
      <c r="AH17" s="91"/>
      <c r="AI17" s="92"/>
      <c r="AJ17" s="88"/>
      <c r="AK17" s="88"/>
      <c r="AL17" s="93"/>
      <c r="AM17" s="91"/>
      <c r="AN17" s="91"/>
      <c r="AO17" s="91"/>
      <c r="AP17" s="92"/>
      <c r="AQ17" s="88"/>
      <c r="AR17" s="88"/>
      <c r="AS17" s="93"/>
      <c r="AT17" s="91"/>
      <c r="AU17" s="91"/>
      <c r="AV17" s="91"/>
      <c r="AW17" s="92"/>
      <c r="AX17" s="88"/>
      <c r="AY17" s="88"/>
      <c r="AZ17" s="93"/>
      <c r="BA17" s="91"/>
      <c r="BB17" s="91"/>
      <c r="BC17" s="91"/>
      <c r="BD17" s="92"/>
      <c r="BE17" s="88"/>
      <c r="BF17" s="88"/>
      <c r="BG17" s="116"/>
    </row>
    <row r="18" spans="2:59" x14ac:dyDescent="0.25">
      <c r="B18" s="42" t="str">
        <f>Base!G12</f>
        <v>24 -</v>
      </c>
      <c r="C18" s="93"/>
      <c r="D18" s="91"/>
      <c r="E18" s="91"/>
      <c r="F18" s="91"/>
      <c r="G18" s="92"/>
      <c r="H18" s="88"/>
      <c r="I18" s="88"/>
      <c r="J18" s="93"/>
      <c r="K18" s="91"/>
      <c r="L18" s="91"/>
      <c r="M18" s="91"/>
      <c r="N18" s="92"/>
      <c r="O18" s="88"/>
      <c r="P18" s="88"/>
      <c r="Q18" s="93"/>
      <c r="R18" s="91"/>
      <c r="S18" s="91"/>
      <c r="T18" s="91"/>
      <c r="U18" s="92"/>
      <c r="V18" s="185"/>
      <c r="W18" s="186"/>
      <c r="X18" s="186"/>
      <c r="Y18" s="186"/>
      <c r="Z18" s="186"/>
      <c r="AA18" s="186"/>
      <c r="AB18" s="186"/>
      <c r="AC18" s="186"/>
      <c r="AD18" s="187"/>
      <c r="AE18" s="93"/>
      <c r="AF18" s="91"/>
      <c r="AG18" s="91"/>
      <c r="AH18" s="91"/>
      <c r="AI18" s="92"/>
      <c r="AJ18" s="88"/>
      <c r="AK18" s="88"/>
      <c r="AL18" s="93"/>
      <c r="AM18" s="91"/>
      <c r="AN18" s="91"/>
      <c r="AO18" s="91"/>
      <c r="AP18" s="92"/>
      <c r="AQ18" s="88"/>
      <c r="AR18" s="88"/>
      <c r="AS18" s="93"/>
      <c r="AT18" s="91"/>
      <c r="AU18" s="91"/>
      <c r="AV18" s="91"/>
      <c r="AW18" s="92"/>
      <c r="AX18" s="88"/>
      <c r="AY18" s="88"/>
      <c r="AZ18" s="93"/>
      <c r="BA18" s="91"/>
      <c r="BB18" s="91"/>
      <c r="BC18" s="91"/>
      <c r="BD18" s="92"/>
      <c r="BE18" s="88"/>
      <c r="BF18" s="88"/>
      <c r="BG18" s="116"/>
    </row>
    <row r="19" spans="2:59" x14ac:dyDescent="0.25">
      <c r="B19" s="42" t="str">
        <f>Base!G13</f>
        <v>25 -</v>
      </c>
      <c r="C19" s="93"/>
      <c r="D19" s="91"/>
      <c r="E19" s="91"/>
      <c r="F19" s="91"/>
      <c r="G19" s="92"/>
      <c r="H19" s="88"/>
      <c r="I19" s="88"/>
      <c r="J19" s="93"/>
      <c r="K19" s="91"/>
      <c r="L19" s="91"/>
      <c r="M19" s="91"/>
      <c r="N19" s="92"/>
      <c r="O19" s="88"/>
      <c r="P19" s="88"/>
      <c r="Q19" s="93"/>
      <c r="R19" s="91"/>
      <c r="S19" s="91"/>
      <c r="T19" s="91"/>
      <c r="U19" s="92"/>
      <c r="V19" s="185"/>
      <c r="W19" s="186"/>
      <c r="X19" s="186"/>
      <c r="Y19" s="186"/>
      <c r="Z19" s="186"/>
      <c r="AA19" s="186"/>
      <c r="AB19" s="186"/>
      <c r="AC19" s="186"/>
      <c r="AD19" s="187"/>
      <c r="AE19" s="93"/>
      <c r="AF19" s="91"/>
      <c r="AG19" s="91"/>
      <c r="AH19" s="91"/>
      <c r="AI19" s="92"/>
      <c r="AJ19" s="88"/>
      <c r="AK19" s="88"/>
      <c r="AL19" s="93"/>
      <c r="AM19" s="91"/>
      <c r="AN19" s="91"/>
      <c r="AO19" s="91"/>
      <c r="AP19" s="92"/>
      <c r="AQ19" s="88"/>
      <c r="AR19" s="88"/>
      <c r="AS19" s="93"/>
      <c r="AT19" s="91"/>
      <c r="AU19" s="91"/>
      <c r="AV19" s="91"/>
      <c r="AW19" s="92"/>
      <c r="AX19" s="88"/>
      <c r="AY19" s="88"/>
      <c r="AZ19" s="93"/>
      <c r="BA19" s="91"/>
      <c r="BB19" s="91"/>
      <c r="BC19" s="91"/>
      <c r="BD19" s="92"/>
      <c r="BE19" s="88"/>
      <c r="BF19" s="88"/>
      <c r="BG19" s="116"/>
    </row>
    <row r="20" spans="2:59" ht="15.75" thickBot="1" x14ac:dyDescent="0.3">
      <c r="B20" s="42" t="str">
        <f>Base!G14</f>
        <v>26 -</v>
      </c>
      <c r="C20" s="93"/>
      <c r="D20" s="91"/>
      <c r="E20" s="91"/>
      <c r="F20" s="91"/>
      <c r="G20" s="92"/>
      <c r="H20" s="88"/>
      <c r="I20" s="88"/>
      <c r="J20" s="93"/>
      <c r="K20" s="91"/>
      <c r="L20" s="91"/>
      <c r="M20" s="91"/>
      <c r="N20" s="92"/>
      <c r="O20" s="88"/>
      <c r="P20" s="88"/>
      <c r="Q20" s="93"/>
      <c r="R20" s="91"/>
      <c r="S20" s="91"/>
      <c r="T20" s="91"/>
      <c r="U20" s="92"/>
      <c r="V20" s="188"/>
      <c r="W20" s="189"/>
      <c r="X20" s="189"/>
      <c r="Y20" s="189"/>
      <c r="Z20" s="189"/>
      <c r="AA20" s="189"/>
      <c r="AB20" s="189"/>
      <c r="AC20" s="189"/>
      <c r="AD20" s="190"/>
      <c r="AE20" s="93"/>
      <c r="AF20" s="91"/>
      <c r="AG20" s="91"/>
      <c r="AH20" s="91"/>
      <c r="AI20" s="92"/>
      <c r="AJ20" s="88"/>
      <c r="AK20" s="88"/>
      <c r="AL20" s="93"/>
      <c r="AM20" s="91"/>
      <c r="AN20" s="91"/>
      <c r="AO20" s="91"/>
      <c r="AP20" s="92"/>
      <c r="AQ20" s="88"/>
      <c r="AR20" s="88"/>
      <c r="AS20" s="93"/>
      <c r="AT20" s="91"/>
      <c r="AU20" s="91"/>
      <c r="AV20" s="91"/>
      <c r="AW20" s="92"/>
      <c r="AX20" s="88"/>
      <c r="AY20" s="88"/>
      <c r="AZ20" s="93"/>
      <c r="BA20" s="91"/>
      <c r="BB20" s="91"/>
      <c r="BC20" s="91"/>
      <c r="BD20" s="92"/>
      <c r="BE20" s="88"/>
      <c r="BF20" s="88"/>
      <c r="BG20" s="116"/>
    </row>
    <row r="21" spans="2:59" x14ac:dyDescent="0.25">
      <c r="B21" s="197" t="str">
        <f>Base!F15</f>
        <v>3 Implémentation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  <c r="AA21" s="198"/>
      <c r="AB21" s="198"/>
      <c r="AC21" s="198"/>
      <c r="AD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9"/>
    </row>
    <row r="22" spans="2:59" ht="15.75" thickBot="1" x14ac:dyDescent="0.3">
      <c r="B22" s="200"/>
      <c r="C22" s="201"/>
      <c r="D22" s="201"/>
      <c r="E22" s="201"/>
      <c r="F22" s="201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01"/>
      <c r="R22" s="201"/>
      <c r="S22" s="201"/>
      <c r="T22" s="201"/>
      <c r="U22" s="201"/>
      <c r="V22" s="201"/>
      <c r="W22" s="201"/>
      <c r="X22" s="201"/>
      <c r="Y22" s="201"/>
      <c r="Z22" s="201"/>
      <c r="AA22" s="201"/>
      <c r="AB22" s="201"/>
      <c r="AC22" s="201"/>
      <c r="AD22" s="201"/>
      <c r="AE22" s="201"/>
      <c r="AF22" s="201"/>
      <c r="AG22" s="201"/>
      <c r="AH22" s="201"/>
      <c r="AI22" s="201"/>
      <c r="AJ22" s="201"/>
      <c r="AK22" s="201"/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2"/>
    </row>
    <row r="23" spans="2:59" ht="15" customHeight="1" x14ac:dyDescent="0.25">
      <c r="B23" s="42" t="str">
        <f>Base!G15</f>
        <v>30 Base du projet C# (classe … )</v>
      </c>
      <c r="C23" s="93"/>
      <c r="D23" s="91"/>
      <c r="E23" s="91"/>
      <c r="F23" s="91"/>
      <c r="G23" s="92"/>
      <c r="H23" s="88"/>
      <c r="I23" s="88"/>
      <c r="J23" s="93"/>
      <c r="K23" s="91"/>
      <c r="L23" s="104"/>
      <c r="M23" s="104"/>
      <c r="N23" s="105"/>
      <c r="O23" s="88"/>
      <c r="P23" s="88"/>
      <c r="Q23" s="106"/>
      <c r="R23" s="104"/>
      <c r="S23" s="104"/>
      <c r="T23" s="104"/>
      <c r="U23" s="105"/>
      <c r="V23" s="182" t="s">
        <v>68</v>
      </c>
      <c r="W23" s="183"/>
      <c r="X23" s="183"/>
      <c r="Y23" s="183"/>
      <c r="Z23" s="183"/>
      <c r="AA23" s="183"/>
      <c r="AB23" s="183"/>
      <c r="AC23" s="183"/>
      <c r="AD23" s="184"/>
      <c r="AE23" s="106"/>
      <c r="AF23" s="104"/>
      <c r="AG23" s="104"/>
      <c r="AH23" s="104"/>
      <c r="AI23" s="105"/>
      <c r="AJ23" s="88"/>
      <c r="AK23" s="88"/>
      <c r="AL23" s="106"/>
      <c r="AM23" s="104"/>
      <c r="AN23" s="104"/>
      <c r="AO23" s="104"/>
      <c r="AP23" s="105"/>
      <c r="AQ23" s="88"/>
      <c r="AR23" s="88"/>
      <c r="AS23" s="101"/>
      <c r="AT23" s="90"/>
      <c r="AU23" s="90"/>
      <c r="AV23" s="90"/>
      <c r="AW23" s="95"/>
      <c r="AX23" s="88"/>
      <c r="AY23" s="88"/>
      <c r="AZ23" s="93"/>
      <c r="BA23" s="91"/>
      <c r="BB23" s="91"/>
      <c r="BC23" s="91"/>
      <c r="BD23" s="92"/>
      <c r="BE23" s="88"/>
      <c r="BF23" s="88"/>
      <c r="BG23" s="116"/>
    </row>
    <row r="24" spans="2:59" x14ac:dyDescent="0.25">
      <c r="B24" s="42" t="str">
        <f>Base!G16</f>
        <v>31 Script création BDD</v>
      </c>
      <c r="C24" s="93"/>
      <c r="D24" s="91"/>
      <c r="E24" s="91"/>
      <c r="F24" s="91"/>
      <c r="G24" s="92"/>
      <c r="H24" s="88"/>
      <c r="I24" s="88"/>
      <c r="J24" s="93"/>
      <c r="K24" s="91"/>
      <c r="L24" s="91"/>
      <c r="M24" s="104"/>
      <c r="N24" s="92"/>
      <c r="O24" s="88"/>
      <c r="P24" s="88"/>
      <c r="Q24" s="93"/>
      <c r="R24" s="91"/>
      <c r="S24" s="91"/>
      <c r="T24" s="91"/>
      <c r="U24" s="92"/>
      <c r="V24" s="185"/>
      <c r="W24" s="186"/>
      <c r="X24" s="186"/>
      <c r="Y24" s="186"/>
      <c r="Z24" s="186"/>
      <c r="AA24" s="186"/>
      <c r="AB24" s="186"/>
      <c r="AC24" s="186"/>
      <c r="AD24" s="187"/>
      <c r="AE24" s="93"/>
      <c r="AF24" s="91"/>
      <c r="AG24" s="91"/>
      <c r="AH24" s="91"/>
      <c r="AI24" s="92"/>
      <c r="AJ24" s="88"/>
      <c r="AK24" s="88"/>
      <c r="AL24" s="93"/>
      <c r="AM24" s="91"/>
      <c r="AN24" s="91"/>
      <c r="AO24" s="91"/>
      <c r="AP24" s="92"/>
      <c r="AQ24" s="88"/>
      <c r="AR24" s="88"/>
      <c r="AS24" s="93"/>
      <c r="AT24" s="91"/>
      <c r="AU24" s="91"/>
      <c r="AV24" s="91"/>
      <c r="AW24" s="92"/>
      <c r="AX24" s="88"/>
      <c r="AY24" s="88"/>
      <c r="AZ24" s="93"/>
      <c r="BA24" s="91"/>
      <c r="BB24" s="91"/>
      <c r="BC24" s="91"/>
      <c r="BD24" s="92"/>
      <c r="BE24" s="88"/>
      <c r="BF24" s="88"/>
      <c r="BG24" s="116"/>
    </row>
    <row r="25" spans="2:59" ht="15" customHeight="1" x14ac:dyDescent="0.25">
      <c r="B25" s="42" t="str">
        <f>Base!G17</f>
        <v>32 Script insertion données</v>
      </c>
      <c r="C25" s="93"/>
      <c r="D25" s="91"/>
      <c r="E25" s="91"/>
      <c r="F25" s="91"/>
      <c r="G25" s="92"/>
      <c r="H25" s="88"/>
      <c r="I25" s="88"/>
      <c r="J25" s="93"/>
      <c r="K25" s="91"/>
      <c r="L25" s="91"/>
      <c r="M25" s="104"/>
      <c r="N25" s="105"/>
      <c r="O25" s="88"/>
      <c r="P25" s="88"/>
      <c r="Q25" s="93"/>
      <c r="R25" s="91"/>
      <c r="S25" s="91"/>
      <c r="T25" s="91"/>
      <c r="U25" s="92"/>
      <c r="V25" s="185"/>
      <c r="W25" s="186"/>
      <c r="X25" s="186"/>
      <c r="Y25" s="186"/>
      <c r="Z25" s="186"/>
      <c r="AA25" s="186"/>
      <c r="AB25" s="186"/>
      <c r="AC25" s="186"/>
      <c r="AD25" s="187"/>
      <c r="AE25" s="93"/>
      <c r="AF25" s="91"/>
      <c r="AG25" s="91"/>
      <c r="AH25" s="91"/>
      <c r="AI25" s="92"/>
      <c r="AJ25" s="88"/>
      <c r="AK25" s="88"/>
      <c r="AL25" s="93"/>
      <c r="AM25" s="91"/>
      <c r="AN25" s="91"/>
      <c r="AO25" s="91"/>
      <c r="AP25" s="92"/>
      <c r="AQ25" s="88"/>
      <c r="AR25" s="88"/>
      <c r="AS25" s="93"/>
      <c r="AT25" s="91"/>
      <c r="AU25" s="91"/>
      <c r="AV25" s="91"/>
      <c r="AW25" s="92"/>
      <c r="AX25" s="88"/>
      <c r="AY25" s="88"/>
      <c r="AZ25" s="93"/>
      <c r="BA25" s="91"/>
      <c r="BB25" s="91"/>
      <c r="BC25" s="91"/>
      <c r="BD25" s="92"/>
      <c r="BE25" s="88"/>
      <c r="BF25" s="88"/>
      <c r="BG25" s="116"/>
    </row>
    <row r="26" spans="2:59" ht="15.75" customHeight="1" x14ac:dyDescent="0.25">
      <c r="B26" s="42" t="str">
        <f>Base!G18</f>
        <v>33  Connection à la BDD</v>
      </c>
      <c r="C26" s="93"/>
      <c r="D26" s="91"/>
      <c r="E26" s="91"/>
      <c r="F26" s="91"/>
      <c r="G26" s="92"/>
      <c r="H26" s="88"/>
      <c r="I26" s="88"/>
      <c r="J26" s="93"/>
      <c r="K26" s="91"/>
      <c r="L26" s="91"/>
      <c r="M26" s="91"/>
      <c r="N26" s="105"/>
      <c r="O26" s="88"/>
      <c r="P26" s="88"/>
      <c r="Q26" s="93"/>
      <c r="R26" s="91"/>
      <c r="S26" s="91"/>
      <c r="T26" s="91"/>
      <c r="U26" s="92"/>
      <c r="V26" s="185"/>
      <c r="W26" s="186"/>
      <c r="X26" s="186"/>
      <c r="Y26" s="186"/>
      <c r="Z26" s="186"/>
      <c r="AA26" s="186"/>
      <c r="AB26" s="186"/>
      <c r="AC26" s="186"/>
      <c r="AD26" s="187"/>
      <c r="AE26" s="93"/>
      <c r="AF26" s="91"/>
      <c r="AG26" s="91"/>
      <c r="AH26" s="91"/>
      <c r="AI26" s="92"/>
      <c r="AJ26" s="88"/>
      <c r="AK26" s="88"/>
      <c r="AL26" s="93"/>
      <c r="AM26" s="91"/>
      <c r="AN26" s="91"/>
      <c r="AO26" s="91"/>
      <c r="AP26" s="92"/>
      <c r="AQ26" s="88"/>
      <c r="AR26" s="88"/>
      <c r="AS26" s="93"/>
      <c r="AT26" s="91"/>
      <c r="AU26" s="91"/>
      <c r="AV26" s="91"/>
      <c r="AW26" s="92"/>
      <c r="AX26" s="88"/>
      <c r="AY26" s="88"/>
      <c r="AZ26" s="93"/>
      <c r="BA26" s="91"/>
      <c r="BB26" s="91"/>
      <c r="BC26" s="91"/>
      <c r="BD26" s="92"/>
      <c r="BE26" s="88"/>
      <c r="BF26" s="88"/>
      <c r="BG26" s="116"/>
    </row>
    <row r="27" spans="2:59" x14ac:dyDescent="0.25">
      <c r="B27" s="42" t="str">
        <f>Base!G19</f>
        <v>34  Ajout au stock</v>
      </c>
      <c r="C27" s="93"/>
      <c r="D27" s="91"/>
      <c r="E27" s="91"/>
      <c r="F27" s="91"/>
      <c r="G27" s="92"/>
      <c r="H27" s="88"/>
      <c r="I27" s="88"/>
      <c r="J27" s="93"/>
      <c r="K27" s="91"/>
      <c r="L27" s="91"/>
      <c r="M27" s="91"/>
      <c r="N27" s="92"/>
      <c r="O27" s="88"/>
      <c r="P27" s="88"/>
      <c r="Q27" s="106"/>
      <c r="R27" s="104"/>
      <c r="S27" s="104"/>
      <c r="T27" s="104"/>
      <c r="U27" s="105"/>
      <c r="V27" s="185"/>
      <c r="W27" s="186"/>
      <c r="X27" s="186"/>
      <c r="Y27" s="186"/>
      <c r="Z27" s="186"/>
      <c r="AA27" s="186"/>
      <c r="AB27" s="186"/>
      <c r="AC27" s="186"/>
      <c r="AD27" s="187"/>
      <c r="AE27" s="93"/>
      <c r="AF27" s="91"/>
      <c r="AG27" s="91"/>
      <c r="AH27" s="91"/>
      <c r="AI27" s="92"/>
      <c r="AJ27" s="88"/>
      <c r="AK27" s="88"/>
      <c r="AL27" s="93"/>
      <c r="AM27" s="91"/>
      <c r="AN27" s="91"/>
      <c r="AO27" s="91"/>
      <c r="AP27" s="92"/>
      <c r="AQ27" s="88"/>
      <c r="AR27" s="88"/>
      <c r="AS27" s="93"/>
      <c r="AT27" s="91"/>
      <c r="AU27" s="91"/>
      <c r="AV27" s="91"/>
      <c r="AW27" s="92"/>
      <c r="AX27" s="88"/>
      <c r="AY27" s="88"/>
      <c r="AZ27" s="93"/>
      <c r="BA27" s="91"/>
      <c r="BB27" s="91"/>
      <c r="BC27" s="91"/>
      <c r="BD27" s="92"/>
      <c r="BE27" s="88"/>
      <c r="BF27" s="88"/>
      <c r="BG27" s="116"/>
    </row>
    <row r="28" spans="2:59" x14ac:dyDescent="0.25">
      <c r="B28" s="42" t="str">
        <f>Base!G20</f>
        <v>35  Retrait du stock</v>
      </c>
      <c r="C28" s="93"/>
      <c r="D28" s="91"/>
      <c r="E28" s="91"/>
      <c r="F28" s="91"/>
      <c r="G28" s="92"/>
      <c r="H28" s="88"/>
      <c r="I28" s="88"/>
      <c r="J28" s="93"/>
      <c r="K28" s="91"/>
      <c r="L28" s="91"/>
      <c r="M28" s="91"/>
      <c r="N28" s="92"/>
      <c r="O28" s="88"/>
      <c r="P28" s="88"/>
      <c r="Q28" s="106"/>
      <c r="R28" s="104"/>
      <c r="S28" s="104"/>
      <c r="T28" s="104"/>
      <c r="U28" s="105"/>
      <c r="V28" s="185"/>
      <c r="W28" s="186"/>
      <c r="X28" s="186"/>
      <c r="Y28" s="186"/>
      <c r="Z28" s="186"/>
      <c r="AA28" s="186"/>
      <c r="AB28" s="186"/>
      <c r="AC28" s="186"/>
      <c r="AD28" s="187"/>
      <c r="AE28" s="93"/>
      <c r="AF28" s="91"/>
      <c r="AG28" s="91"/>
      <c r="AH28" s="91"/>
      <c r="AI28" s="92"/>
      <c r="AJ28" s="88"/>
      <c r="AK28" s="88"/>
      <c r="AL28" s="93"/>
      <c r="AM28" s="91"/>
      <c r="AN28" s="91"/>
      <c r="AO28" s="91"/>
      <c r="AP28" s="92"/>
      <c r="AQ28" s="88"/>
      <c r="AR28" s="88"/>
      <c r="AS28" s="93"/>
      <c r="AT28" s="91"/>
      <c r="AU28" s="91"/>
      <c r="AV28" s="91"/>
      <c r="AW28" s="92"/>
      <c r="AX28" s="88"/>
      <c r="AY28" s="88"/>
      <c r="AZ28" s="93"/>
      <c r="BA28" s="91"/>
      <c r="BB28" s="91"/>
      <c r="BC28" s="91"/>
      <c r="BD28" s="92"/>
      <c r="BE28" s="88"/>
      <c r="BF28" s="88"/>
      <c r="BG28" s="116"/>
    </row>
    <row r="29" spans="2:59" x14ac:dyDescent="0.25">
      <c r="B29" s="42" t="str">
        <f>Base!G21</f>
        <v>36 Génération de pdf</v>
      </c>
      <c r="C29" s="93"/>
      <c r="D29" s="91"/>
      <c r="E29" s="91"/>
      <c r="F29" s="91"/>
      <c r="G29" s="92"/>
      <c r="H29" s="88"/>
      <c r="I29" s="88"/>
      <c r="J29" s="93"/>
      <c r="K29" s="91"/>
      <c r="L29" s="91"/>
      <c r="M29" s="91"/>
      <c r="N29" s="92"/>
      <c r="O29" s="88"/>
      <c r="P29" s="88"/>
      <c r="Q29" s="93"/>
      <c r="R29" s="91"/>
      <c r="S29" s="91"/>
      <c r="T29" s="91"/>
      <c r="U29" s="92"/>
      <c r="V29" s="185"/>
      <c r="W29" s="186"/>
      <c r="X29" s="186"/>
      <c r="Y29" s="186"/>
      <c r="Z29" s="186"/>
      <c r="AA29" s="186"/>
      <c r="AB29" s="186"/>
      <c r="AC29" s="186"/>
      <c r="AD29" s="187"/>
      <c r="AE29" s="106"/>
      <c r="AF29" s="104"/>
      <c r="AG29" s="104"/>
      <c r="AH29" s="104"/>
      <c r="AI29" s="105"/>
      <c r="AJ29" s="88"/>
      <c r="AK29" s="88"/>
      <c r="AL29" s="106"/>
      <c r="AM29" s="104"/>
      <c r="AN29" s="104"/>
      <c r="AO29" s="104"/>
      <c r="AP29" s="105"/>
      <c r="AQ29" s="88"/>
      <c r="AR29" s="88"/>
      <c r="AS29" s="106"/>
      <c r="AT29" s="104"/>
      <c r="AU29" s="104"/>
      <c r="AV29" s="90"/>
      <c r="AW29" s="95"/>
      <c r="AX29" s="88"/>
      <c r="AY29" s="88"/>
      <c r="AZ29" s="93"/>
      <c r="BA29" s="91"/>
      <c r="BB29" s="91"/>
      <c r="BC29" s="91"/>
      <c r="BD29" s="92"/>
      <c r="BE29" s="88"/>
      <c r="BF29" s="88"/>
      <c r="BG29" s="116"/>
    </row>
    <row r="30" spans="2:59" ht="15" customHeight="1" x14ac:dyDescent="0.25">
      <c r="B30" s="42" t="str">
        <f>Base!G22</f>
        <v>37 Fonction recherche : mot-clé</v>
      </c>
      <c r="C30" s="93"/>
      <c r="D30" s="91"/>
      <c r="E30" s="91"/>
      <c r="F30" s="91"/>
      <c r="G30" s="92"/>
      <c r="H30" s="88"/>
      <c r="I30" s="88"/>
      <c r="J30" s="93"/>
      <c r="K30" s="91"/>
      <c r="L30" s="91"/>
      <c r="M30" s="91"/>
      <c r="N30" s="92"/>
      <c r="O30" s="88"/>
      <c r="P30" s="88"/>
      <c r="Q30" s="93"/>
      <c r="R30" s="91"/>
      <c r="S30" s="91"/>
      <c r="T30" s="91"/>
      <c r="U30" s="92"/>
      <c r="V30" s="185"/>
      <c r="W30" s="186"/>
      <c r="X30" s="186"/>
      <c r="Y30" s="186"/>
      <c r="Z30" s="186"/>
      <c r="AA30" s="186"/>
      <c r="AB30" s="186"/>
      <c r="AC30" s="186"/>
      <c r="AD30" s="187"/>
      <c r="AE30" s="106"/>
      <c r="AF30" s="104"/>
      <c r="AG30" s="104"/>
      <c r="AH30" s="104"/>
      <c r="AI30" s="105"/>
      <c r="AJ30" s="88"/>
      <c r="AK30" s="88"/>
      <c r="AL30" s="106"/>
      <c r="AM30" s="104"/>
      <c r="AN30" s="104"/>
      <c r="AO30" s="104"/>
      <c r="AP30" s="105"/>
      <c r="AQ30" s="88"/>
      <c r="AR30" s="88"/>
      <c r="AS30" s="106"/>
      <c r="AT30" s="104"/>
      <c r="AU30" s="104"/>
      <c r="AV30" s="91"/>
      <c r="AW30" s="92"/>
      <c r="AX30" s="88"/>
      <c r="AY30" s="88"/>
      <c r="AZ30" s="93"/>
      <c r="BA30" s="91"/>
      <c r="BB30" s="91"/>
      <c r="BC30" s="91"/>
      <c r="BD30" s="92"/>
      <c r="BE30" s="88"/>
      <c r="BF30" s="88"/>
      <c r="BG30" s="116"/>
    </row>
    <row r="31" spans="2:59" ht="15" customHeight="1" x14ac:dyDescent="0.25">
      <c r="B31" s="42" t="str">
        <f>Base!G23</f>
        <v>38 Historique de location</v>
      </c>
      <c r="C31" s="93"/>
      <c r="D31" s="91"/>
      <c r="E31" s="91"/>
      <c r="F31" s="91"/>
      <c r="G31" s="92"/>
      <c r="H31" s="88"/>
      <c r="I31" s="88"/>
      <c r="J31" s="93"/>
      <c r="K31" s="91"/>
      <c r="L31" s="91"/>
      <c r="M31" s="91"/>
      <c r="N31" s="92"/>
      <c r="O31" s="88"/>
      <c r="P31" s="88"/>
      <c r="Q31" s="93"/>
      <c r="R31" s="91"/>
      <c r="S31" s="91"/>
      <c r="T31" s="91"/>
      <c r="U31" s="92"/>
      <c r="V31" s="185"/>
      <c r="W31" s="186"/>
      <c r="X31" s="186"/>
      <c r="Y31" s="186"/>
      <c r="Z31" s="186"/>
      <c r="AA31" s="186"/>
      <c r="AB31" s="186"/>
      <c r="AC31" s="186"/>
      <c r="AD31" s="187"/>
      <c r="AE31" s="106"/>
      <c r="AF31" s="104"/>
      <c r="AG31" s="104"/>
      <c r="AH31" s="104"/>
      <c r="AI31" s="105"/>
      <c r="AJ31" s="88"/>
      <c r="AK31" s="88"/>
      <c r="AL31" s="106"/>
      <c r="AM31" s="104"/>
      <c r="AN31" s="104"/>
      <c r="AO31" s="104"/>
      <c r="AP31" s="105"/>
      <c r="AQ31" s="88"/>
      <c r="AR31" s="88"/>
      <c r="AS31" s="106"/>
      <c r="AT31" s="104"/>
      <c r="AU31" s="104"/>
      <c r="AV31" s="91"/>
      <c r="AW31" s="92"/>
      <c r="AX31" s="88"/>
      <c r="AY31" s="88"/>
      <c r="AZ31" s="93"/>
      <c r="BA31" s="91"/>
      <c r="BB31" s="91"/>
      <c r="BC31" s="91"/>
      <c r="BD31" s="92"/>
      <c r="BE31" s="88"/>
      <c r="BF31" s="88"/>
      <c r="BG31" s="116"/>
    </row>
    <row r="32" spans="2:59" ht="15.75" customHeight="1" thickBot="1" x14ac:dyDescent="0.3">
      <c r="B32" s="42" t="str">
        <f>Base!G24</f>
        <v>39 Recherche : délai dépassé</v>
      </c>
      <c r="C32" s="93"/>
      <c r="D32" s="91"/>
      <c r="E32" s="91"/>
      <c r="F32" s="91"/>
      <c r="G32" s="92"/>
      <c r="H32" s="88"/>
      <c r="I32" s="88"/>
      <c r="J32" s="93"/>
      <c r="K32" s="91"/>
      <c r="L32" s="91"/>
      <c r="M32" s="91"/>
      <c r="N32" s="92"/>
      <c r="O32" s="88"/>
      <c r="P32" s="88"/>
      <c r="Q32" s="93"/>
      <c r="R32" s="91"/>
      <c r="S32" s="91"/>
      <c r="T32" s="91"/>
      <c r="U32" s="92"/>
      <c r="V32" s="188"/>
      <c r="W32" s="189"/>
      <c r="X32" s="189"/>
      <c r="Y32" s="189"/>
      <c r="Z32" s="189"/>
      <c r="AA32" s="189"/>
      <c r="AB32" s="189"/>
      <c r="AC32" s="189"/>
      <c r="AD32" s="190"/>
      <c r="AE32" s="106"/>
      <c r="AF32" s="104"/>
      <c r="AG32" s="104"/>
      <c r="AH32" s="104"/>
      <c r="AI32" s="105"/>
      <c r="AJ32" s="88"/>
      <c r="AK32" s="88"/>
      <c r="AL32" s="106"/>
      <c r="AM32" s="104"/>
      <c r="AN32" s="104"/>
      <c r="AO32" s="104"/>
      <c r="AP32" s="105"/>
      <c r="AQ32" s="88"/>
      <c r="AR32" s="88"/>
      <c r="AS32" s="106"/>
      <c r="AT32" s="104"/>
      <c r="AU32" s="104"/>
      <c r="AV32" s="91"/>
      <c r="AW32" s="92"/>
      <c r="AX32" s="88"/>
      <c r="AY32" s="88"/>
      <c r="AZ32" s="93"/>
      <c r="BA32" s="91"/>
      <c r="BB32" s="91"/>
      <c r="BC32" s="91"/>
      <c r="BD32" s="92"/>
      <c r="BE32" s="88"/>
      <c r="BF32" s="88"/>
      <c r="BG32" s="116"/>
    </row>
    <row r="33" spans="2:59" ht="15.75" customHeight="1" x14ac:dyDescent="0.25">
      <c r="B33" s="170" t="str">
        <f>Base!F25</f>
        <v>4 Tests</v>
      </c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2"/>
    </row>
    <row r="34" spans="2:59" ht="15.75" customHeight="1" thickBot="1" x14ac:dyDescent="0.3">
      <c r="B34" s="173"/>
      <c r="C34" s="174"/>
      <c r="D34" s="174"/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4"/>
      <c r="Z34" s="174"/>
      <c r="AA34" s="174"/>
      <c r="AB34" s="174"/>
      <c r="AC34" s="174"/>
      <c r="AD34" s="174"/>
      <c r="AE34" s="174"/>
      <c r="AF34" s="174"/>
      <c r="AG34" s="174"/>
      <c r="AH34" s="174"/>
      <c r="AI34" s="174"/>
      <c r="AJ34" s="174"/>
      <c r="AK34" s="174"/>
      <c r="AL34" s="174"/>
      <c r="AM34" s="174"/>
      <c r="AN34" s="174"/>
      <c r="AO34" s="174"/>
      <c r="AP34" s="174"/>
      <c r="AQ34" s="174"/>
      <c r="AR34" s="174"/>
      <c r="AS34" s="174"/>
      <c r="AT34" s="174"/>
      <c r="AU34" s="174"/>
      <c r="AV34" s="174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5"/>
    </row>
    <row r="35" spans="2:59" x14ac:dyDescent="0.25">
      <c r="B35" s="42" t="str">
        <f>Base!G25</f>
        <v>41 Tests unitaires</v>
      </c>
      <c r="C35" s="93"/>
      <c r="D35" s="91"/>
      <c r="E35" s="91"/>
      <c r="F35" s="91"/>
      <c r="G35" s="92"/>
      <c r="H35" s="88"/>
      <c r="I35" s="88"/>
      <c r="J35" s="93"/>
      <c r="K35" s="91"/>
      <c r="L35" s="91"/>
      <c r="M35" s="91"/>
      <c r="N35" s="92"/>
      <c r="O35" s="88"/>
      <c r="P35" s="88"/>
      <c r="Q35" s="93"/>
      <c r="R35" s="91"/>
      <c r="S35" s="91"/>
      <c r="T35" s="107"/>
      <c r="U35" s="108"/>
      <c r="V35" s="182" t="s">
        <v>69</v>
      </c>
      <c r="W35" s="183"/>
      <c r="X35" s="183"/>
      <c r="Y35" s="183"/>
      <c r="Z35" s="183"/>
      <c r="AA35" s="183"/>
      <c r="AB35" s="183"/>
      <c r="AC35" s="183"/>
      <c r="AD35" s="184"/>
      <c r="AE35" s="109"/>
      <c r="AF35" s="107"/>
      <c r="AG35" s="107"/>
      <c r="AH35" s="107"/>
      <c r="AI35" s="108"/>
      <c r="AJ35" s="88"/>
      <c r="AK35" s="88"/>
      <c r="AL35" s="109"/>
      <c r="AM35" s="107"/>
      <c r="AN35" s="107"/>
      <c r="AO35" s="107"/>
      <c r="AP35" s="108"/>
      <c r="AQ35" s="88"/>
      <c r="AR35" s="88"/>
      <c r="AS35" s="109"/>
      <c r="AT35" s="107"/>
      <c r="AU35" s="107"/>
      <c r="AV35" s="107"/>
      <c r="AW35" s="108"/>
      <c r="AX35" s="88"/>
      <c r="AY35" s="88"/>
      <c r="AZ35" s="109"/>
      <c r="BA35" s="90"/>
      <c r="BB35" s="90"/>
      <c r="BC35" s="90"/>
      <c r="BD35" s="95"/>
      <c r="BE35" s="88"/>
      <c r="BF35" s="88"/>
      <c r="BG35" s="116"/>
    </row>
    <row r="36" spans="2:59" x14ac:dyDescent="0.25">
      <c r="B36" s="42" t="str">
        <f>Base!G26</f>
        <v>42 Tests d'intégration</v>
      </c>
      <c r="C36" s="93"/>
      <c r="D36" s="91"/>
      <c r="E36" s="91"/>
      <c r="F36" s="91"/>
      <c r="G36" s="92"/>
      <c r="H36" s="88"/>
      <c r="I36" s="88"/>
      <c r="J36" s="93"/>
      <c r="K36" s="91"/>
      <c r="L36" s="91"/>
      <c r="M36" s="91"/>
      <c r="N36" s="92"/>
      <c r="O36" s="88"/>
      <c r="P36" s="88"/>
      <c r="Q36" s="93"/>
      <c r="R36" s="91"/>
      <c r="S36" s="91"/>
      <c r="T36" s="90"/>
      <c r="U36" s="95"/>
      <c r="V36" s="185"/>
      <c r="W36" s="186"/>
      <c r="X36" s="186"/>
      <c r="Y36" s="186"/>
      <c r="Z36" s="186"/>
      <c r="AA36" s="186"/>
      <c r="AB36" s="186"/>
      <c r="AC36" s="186"/>
      <c r="AD36" s="187"/>
      <c r="AE36" s="109"/>
      <c r="AF36" s="107"/>
      <c r="AG36" s="107"/>
      <c r="AH36" s="107"/>
      <c r="AI36" s="108"/>
      <c r="AJ36" s="88"/>
      <c r="AK36" s="88"/>
      <c r="AL36" s="109"/>
      <c r="AM36" s="107"/>
      <c r="AN36" s="107"/>
      <c r="AO36" s="107"/>
      <c r="AP36" s="108"/>
      <c r="AQ36" s="88"/>
      <c r="AR36" s="88"/>
      <c r="AS36" s="109"/>
      <c r="AT36" s="107"/>
      <c r="AU36" s="107"/>
      <c r="AV36" s="107"/>
      <c r="AW36" s="108"/>
      <c r="AX36" s="88"/>
      <c r="AY36" s="88"/>
      <c r="AZ36" s="109"/>
      <c r="BA36" s="107"/>
      <c r="BB36" s="91"/>
      <c r="BC36" s="91"/>
      <c r="BD36" s="92"/>
      <c r="BE36" s="88"/>
      <c r="BF36" s="88"/>
      <c r="BG36" s="116"/>
    </row>
    <row r="37" spans="2:59" x14ac:dyDescent="0.25">
      <c r="B37" s="42" t="str">
        <f>Base!G27</f>
        <v>43 Tests fonctionnels</v>
      </c>
      <c r="C37" s="93"/>
      <c r="D37" s="91"/>
      <c r="E37" s="91"/>
      <c r="F37" s="91"/>
      <c r="G37" s="92"/>
      <c r="H37" s="88"/>
      <c r="I37" s="88"/>
      <c r="J37" s="93"/>
      <c r="K37" s="91"/>
      <c r="L37" s="91"/>
      <c r="M37" s="91"/>
      <c r="N37" s="92"/>
      <c r="O37" s="88"/>
      <c r="P37" s="88"/>
      <c r="Q37" s="93"/>
      <c r="R37" s="91"/>
      <c r="S37" s="91"/>
      <c r="T37" s="91"/>
      <c r="U37" s="92"/>
      <c r="V37" s="185"/>
      <c r="W37" s="186"/>
      <c r="X37" s="186"/>
      <c r="Y37" s="186"/>
      <c r="Z37" s="186"/>
      <c r="AA37" s="186"/>
      <c r="AB37" s="186"/>
      <c r="AC37" s="186"/>
      <c r="AD37" s="187"/>
      <c r="AE37" s="109"/>
      <c r="AF37" s="107"/>
      <c r="AG37" s="107"/>
      <c r="AH37" s="107"/>
      <c r="AI37" s="108"/>
      <c r="AJ37" s="88"/>
      <c r="AK37" s="88"/>
      <c r="AL37" s="109"/>
      <c r="AM37" s="107"/>
      <c r="AN37" s="107"/>
      <c r="AO37" s="107"/>
      <c r="AP37" s="108"/>
      <c r="AQ37" s="88"/>
      <c r="AR37" s="88"/>
      <c r="AS37" s="109"/>
      <c r="AT37" s="107"/>
      <c r="AU37" s="107"/>
      <c r="AV37" s="107"/>
      <c r="AW37" s="108"/>
      <c r="AX37" s="88"/>
      <c r="AY37" s="88"/>
      <c r="AZ37" s="109"/>
      <c r="BA37" s="107"/>
      <c r="BB37" s="107"/>
      <c r="BC37" s="107"/>
      <c r="BD37" s="108"/>
      <c r="BE37" s="88"/>
      <c r="BF37" s="88"/>
      <c r="BG37" s="116"/>
    </row>
    <row r="38" spans="2:59" x14ac:dyDescent="0.25">
      <c r="B38" s="42" t="str">
        <f>Base!G28</f>
        <v>44 -</v>
      </c>
      <c r="C38" s="93"/>
      <c r="D38" s="91"/>
      <c r="E38" s="91"/>
      <c r="F38" s="91"/>
      <c r="G38" s="92"/>
      <c r="H38" s="88"/>
      <c r="I38" s="88"/>
      <c r="J38" s="93"/>
      <c r="K38" s="91"/>
      <c r="L38" s="91"/>
      <c r="M38" s="91"/>
      <c r="N38" s="92"/>
      <c r="O38" s="88"/>
      <c r="P38" s="88"/>
      <c r="Q38" s="93"/>
      <c r="R38" s="91"/>
      <c r="S38" s="91"/>
      <c r="T38" s="91"/>
      <c r="U38" s="92"/>
      <c r="V38" s="185"/>
      <c r="W38" s="186"/>
      <c r="X38" s="186"/>
      <c r="Y38" s="186"/>
      <c r="Z38" s="186"/>
      <c r="AA38" s="186"/>
      <c r="AB38" s="186"/>
      <c r="AC38" s="186"/>
      <c r="AD38" s="187"/>
      <c r="AE38" s="93"/>
      <c r="AF38" s="91"/>
      <c r="AG38" s="91"/>
      <c r="AH38" s="91"/>
      <c r="AI38" s="92"/>
      <c r="AJ38" s="88"/>
      <c r="AK38" s="88"/>
      <c r="AL38" s="93"/>
      <c r="AM38" s="91"/>
      <c r="AN38" s="91"/>
      <c r="AO38" s="91"/>
      <c r="AP38" s="92"/>
      <c r="AQ38" s="88"/>
      <c r="AR38" s="88"/>
      <c r="AS38" s="93"/>
      <c r="AT38" s="91"/>
      <c r="AU38" s="91"/>
      <c r="AV38" s="91"/>
      <c r="AW38" s="92"/>
      <c r="AX38" s="88"/>
      <c r="AY38" s="88"/>
      <c r="AZ38" s="93"/>
      <c r="BA38" s="91"/>
      <c r="BB38" s="91"/>
      <c r="BC38" s="91"/>
      <c r="BD38" s="92"/>
      <c r="BE38" s="88"/>
      <c r="BF38" s="88"/>
      <c r="BG38" s="116"/>
    </row>
    <row r="39" spans="2:59" x14ac:dyDescent="0.25">
      <c r="B39" s="42" t="str">
        <f>Base!G29</f>
        <v>45 -</v>
      </c>
      <c r="C39" s="93"/>
      <c r="D39" s="91"/>
      <c r="E39" s="91"/>
      <c r="F39" s="91"/>
      <c r="G39" s="92"/>
      <c r="H39" s="88"/>
      <c r="I39" s="88"/>
      <c r="J39" s="93"/>
      <c r="K39" s="91"/>
      <c r="L39" s="91"/>
      <c r="M39" s="91"/>
      <c r="N39" s="92"/>
      <c r="O39" s="88"/>
      <c r="P39" s="88"/>
      <c r="Q39" s="93"/>
      <c r="R39" s="91"/>
      <c r="S39" s="91"/>
      <c r="T39" s="91"/>
      <c r="U39" s="92"/>
      <c r="V39" s="185"/>
      <c r="W39" s="186"/>
      <c r="X39" s="186"/>
      <c r="Y39" s="186"/>
      <c r="Z39" s="186"/>
      <c r="AA39" s="186"/>
      <c r="AB39" s="186"/>
      <c r="AC39" s="186"/>
      <c r="AD39" s="187"/>
      <c r="AE39" s="93"/>
      <c r="AF39" s="91"/>
      <c r="AG39" s="91"/>
      <c r="AH39" s="91"/>
      <c r="AI39" s="92"/>
      <c r="AJ39" s="88"/>
      <c r="AK39" s="88"/>
      <c r="AL39" s="93"/>
      <c r="AM39" s="91"/>
      <c r="AN39" s="91"/>
      <c r="AO39" s="91"/>
      <c r="AP39" s="92"/>
      <c r="AQ39" s="88"/>
      <c r="AR39" s="88"/>
      <c r="AS39" s="93"/>
      <c r="AT39" s="91"/>
      <c r="AU39" s="91"/>
      <c r="AV39" s="91"/>
      <c r="AW39" s="92"/>
      <c r="AX39" s="88"/>
      <c r="AY39" s="88"/>
      <c r="AZ39" s="93"/>
      <c r="BA39" s="91"/>
      <c r="BB39" s="91"/>
      <c r="BC39" s="91"/>
      <c r="BD39" s="92"/>
      <c r="BE39" s="88"/>
      <c r="BF39" s="88"/>
      <c r="BG39" s="116"/>
    </row>
    <row r="40" spans="2:59" ht="15.75" thickBot="1" x14ac:dyDescent="0.3">
      <c r="B40" s="42" t="str">
        <f>Base!G30</f>
        <v>46 -</v>
      </c>
      <c r="C40" s="93"/>
      <c r="D40" s="91"/>
      <c r="E40" s="91"/>
      <c r="F40" s="91"/>
      <c r="G40" s="92"/>
      <c r="H40" s="88"/>
      <c r="I40" s="88"/>
      <c r="J40" s="93"/>
      <c r="K40" s="91"/>
      <c r="L40" s="91"/>
      <c r="M40" s="91"/>
      <c r="N40" s="92"/>
      <c r="O40" s="88"/>
      <c r="P40" s="88"/>
      <c r="Q40" s="93"/>
      <c r="R40" s="91"/>
      <c r="S40" s="91"/>
      <c r="T40" s="91"/>
      <c r="U40" s="92"/>
      <c r="V40" s="188"/>
      <c r="W40" s="189"/>
      <c r="X40" s="189"/>
      <c r="Y40" s="189"/>
      <c r="Z40" s="189"/>
      <c r="AA40" s="189"/>
      <c r="AB40" s="189"/>
      <c r="AC40" s="189"/>
      <c r="AD40" s="190"/>
      <c r="AE40" s="93"/>
      <c r="AF40" s="91"/>
      <c r="AG40" s="91"/>
      <c r="AH40" s="91"/>
      <c r="AI40" s="92"/>
      <c r="AJ40" s="88"/>
      <c r="AK40" s="88"/>
      <c r="AL40" s="93"/>
      <c r="AM40" s="91"/>
      <c r="AN40" s="91"/>
      <c r="AO40" s="91"/>
      <c r="AP40" s="92"/>
      <c r="AQ40" s="88"/>
      <c r="AR40" s="88"/>
      <c r="AS40" s="93"/>
      <c r="AT40" s="91"/>
      <c r="AU40" s="91"/>
      <c r="AV40" s="91"/>
      <c r="AW40" s="92"/>
      <c r="AX40" s="88"/>
      <c r="AY40" s="88"/>
      <c r="AZ40" s="93"/>
      <c r="BA40" s="91"/>
      <c r="BB40" s="91"/>
      <c r="BC40" s="91"/>
      <c r="BD40" s="92"/>
      <c r="BE40" s="88"/>
      <c r="BF40" s="88"/>
      <c r="BG40" s="116"/>
    </row>
    <row r="41" spans="2:59" x14ac:dyDescent="0.25">
      <c r="B41" s="176" t="str">
        <f>Base!F31</f>
        <v>5 Documentation</v>
      </c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  <c r="R41" s="177"/>
      <c r="S41" s="177"/>
      <c r="T41" s="177"/>
      <c r="U41" s="177"/>
      <c r="V41" s="177"/>
      <c r="W41" s="177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  <c r="AI41" s="177"/>
      <c r="AJ41" s="177"/>
      <c r="AK41" s="177"/>
      <c r="AL41" s="177"/>
      <c r="AM41" s="177"/>
      <c r="AN41" s="177"/>
      <c r="AO41" s="177"/>
      <c r="AP41" s="177"/>
      <c r="AQ41" s="177"/>
      <c r="AR41" s="177"/>
      <c r="AS41" s="177"/>
      <c r="AT41" s="177"/>
      <c r="AU41" s="177"/>
      <c r="AV41" s="177"/>
      <c r="AW41" s="177"/>
      <c r="AX41" s="177"/>
      <c r="AY41" s="177"/>
      <c r="AZ41" s="177"/>
      <c r="BA41" s="177"/>
      <c r="BB41" s="177"/>
      <c r="BC41" s="177"/>
      <c r="BD41" s="177"/>
      <c r="BE41" s="177"/>
      <c r="BF41" s="177"/>
      <c r="BG41" s="178"/>
    </row>
    <row r="42" spans="2:59" ht="15.75" thickBot="1" x14ac:dyDescent="0.3">
      <c r="B42" s="179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80"/>
      <c r="W42" s="180"/>
      <c r="X42" s="180"/>
      <c r="Y42" s="180"/>
      <c r="Z42" s="180"/>
      <c r="AA42" s="180"/>
      <c r="AB42" s="180"/>
      <c r="AC42" s="180"/>
      <c r="AD42" s="180"/>
      <c r="AE42" s="180"/>
      <c r="AF42" s="180"/>
      <c r="AG42" s="180"/>
      <c r="AH42" s="180"/>
      <c r="AI42" s="180"/>
      <c r="AJ42" s="180"/>
      <c r="AK42" s="180"/>
      <c r="AL42" s="180"/>
      <c r="AM42" s="180"/>
      <c r="AN42" s="180"/>
      <c r="AO42" s="180"/>
      <c r="AP42" s="180"/>
      <c r="AQ42" s="180"/>
      <c r="AR42" s="180"/>
      <c r="AS42" s="180"/>
      <c r="AT42" s="180"/>
      <c r="AU42" s="180"/>
      <c r="AV42" s="180"/>
      <c r="AW42" s="180"/>
      <c r="AX42" s="180"/>
      <c r="AY42" s="180"/>
      <c r="AZ42" s="180"/>
      <c r="BA42" s="180"/>
      <c r="BB42" s="180"/>
      <c r="BC42" s="180"/>
      <c r="BD42" s="180"/>
      <c r="BE42" s="180"/>
      <c r="BF42" s="180"/>
      <c r="BG42" s="181"/>
    </row>
    <row r="43" spans="2:59" x14ac:dyDescent="0.25">
      <c r="B43" s="42" t="str">
        <f>Base!G31</f>
        <v>51 Rapport de pré-TPI</v>
      </c>
      <c r="C43" s="98"/>
      <c r="D43" s="99"/>
      <c r="E43" s="99"/>
      <c r="F43" s="99"/>
      <c r="G43" s="100"/>
      <c r="H43" s="88"/>
      <c r="I43" s="88"/>
      <c r="J43" s="98"/>
      <c r="K43" s="99"/>
      <c r="L43" s="99"/>
      <c r="M43" s="99"/>
      <c r="N43" s="100"/>
      <c r="O43" s="88"/>
      <c r="P43" s="88"/>
      <c r="Q43" s="98"/>
      <c r="R43" s="99"/>
      <c r="S43" s="99"/>
      <c r="T43" s="99"/>
      <c r="U43" s="100"/>
      <c r="V43" s="182" t="s">
        <v>70</v>
      </c>
      <c r="W43" s="183"/>
      <c r="X43" s="183"/>
      <c r="Y43" s="183"/>
      <c r="Z43" s="183"/>
      <c r="AA43" s="183"/>
      <c r="AB43" s="183"/>
      <c r="AC43" s="183"/>
      <c r="AD43" s="184"/>
      <c r="AE43" s="98"/>
      <c r="AF43" s="99"/>
      <c r="AG43" s="99"/>
      <c r="AH43" s="99"/>
      <c r="AI43" s="100"/>
      <c r="AJ43" s="88"/>
      <c r="AK43" s="88"/>
      <c r="AL43" s="98"/>
      <c r="AM43" s="99"/>
      <c r="AN43" s="99"/>
      <c r="AO43" s="99"/>
      <c r="AP43" s="100"/>
      <c r="AQ43" s="88"/>
      <c r="AR43" s="88"/>
      <c r="AS43" s="98"/>
      <c r="AT43" s="99"/>
      <c r="AU43" s="99"/>
      <c r="AV43" s="99"/>
      <c r="AW43" s="100"/>
      <c r="AX43" s="88"/>
      <c r="AY43" s="88"/>
      <c r="AZ43" s="98"/>
      <c r="BA43" s="99"/>
      <c r="BB43" s="99"/>
      <c r="BC43" s="99"/>
      <c r="BD43" s="100"/>
      <c r="BE43" s="88"/>
      <c r="BF43" s="88"/>
      <c r="BG43" s="117"/>
    </row>
    <row r="44" spans="2:59" x14ac:dyDescent="0.25">
      <c r="B44" s="42" t="str">
        <f>Base!G32</f>
        <v>52 Mode d'emploi utilisateur</v>
      </c>
      <c r="C44" s="93"/>
      <c r="D44" s="91"/>
      <c r="E44" s="91"/>
      <c r="F44" s="91"/>
      <c r="G44" s="92"/>
      <c r="H44" s="88"/>
      <c r="I44" s="88"/>
      <c r="J44" s="93"/>
      <c r="K44" s="91"/>
      <c r="L44" s="91"/>
      <c r="M44" s="91"/>
      <c r="N44" s="92"/>
      <c r="O44" s="88"/>
      <c r="P44" s="88"/>
      <c r="Q44" s="93"/>
      <c r="R44" s="91"/>
      <c r="S44" s="91"/>
      <c r="T44" s="91"/>
      <c r="U44" s="92"/>
      <c r="V44" s="185"/>
      <c r="W44" s="186"/>
      <c r="X44" s="186"/>
      <c r="Y44" s="186"/>
      <c r="Z44" s="186"/>
      <c r="AA44" s="186"/>
      <c r="AB44" s="186"/>
      <c r="AC44" s="186"/>
      <c r="AD44" s="187"/>
      <c r="AE44" s="93"/>
      <c r="AF44" s="91"/>
      <c r="AG44" s="91"/>
      <c r="AH44" s="91"/>
      <c r="AI44" s="92"/>
      <c r="AJ44" s="88"/>
      <c r="AK44" s="88"/>
      <c r="AL44" s="93"/>
      <c r="AM44" s="91"/>
      <c r="AN44" s="91"/>
      <c r="AO44" s="91"/>
      <c r="AP44" s="92"/>
      <c r="AQ44" s="88"/>
      <c r="AR44" s="88"/>
      <c r="AS44" s="98"/>
      <c r="AT44" s="99"/>
      <c r="AU44" s="99"/>
      <c r="AV44" s="99"/>
      <c r="AW44" s="100"/>
      <c r="AX44" s="88"/>
      <c r="AY44" s="88"/>
      <c r="AZ44" s="98"/>
      <c r="BA44" s="99"/>
      <c r="BB44" s="99"/>
      <c r="BC44" s="99"/>
      <c r="BD44" s="100"/>
      <c r="BE44" s="88"/>
      <c r="BF44" s="88"/>
      <c r="BG44" s="117"/>
    </row>
    <row r="45" spans="2:59" x14ac:dyDescent="0.25">
      <c r="B45" s="42" t="str">
        <f>Base!G33</f>
        <v>53 -</v>
      </c>
      <c r="C45" s="93"/>
      <c r="D45" s="91"/>
      <c r="E45" s="91"/>
      <c r="F45" s="91"/>
      <c r="G45" s="92"/>
      <c r="H45" s="88"/>
      <c r="I45" s="88"/>
      <c r="J45" s="93"/>
      <c r="K45" s="91"/>
      <c r="L45" s="91"/>
      <c r="M45" s="91"/>
      <c r="N45" s="92"/>
      <c r="O45" s="88"/>
      <c r="P45" s="88"/>
      <c r="Q45" s="93"/>
      <c r="R45" s="91"/>
      <c r="S45" s="91"/>
      <c r="T45" s="91"/>
      <c r="U45" s="92"/>
      <c r="V45" s="185"/>
      <c r="W45" s="186"/>
      <c r="X45" s="186"/>
      <c r="Y45" s="186"/>
      <c r="Z45" s="186"/>
      <c r="AA45" s="186"/>
      <c r="AB45" s="186"/>
      <c r="AC45" s="186"/>
      <c r="AD45" s="187"/>
      <c r="AE45" s="93"/>
      <c r="AF45" s="91"/>
      <c r="AG45" s="91"/>
      <c r="AH45" s="91"/>
      <c r="AI45" s="92"/>
      <c r="AJ45" s="88"/>
      <c r="AK45" s="88"/>
      <c r="AL45" s="93"/>
      <c r="AM45" s="91"/>
      <c r="AN45" s="91"/>
      <c r="AO45" s="91"/>
      <c r="AP45" s="92"/>
      <c r="AQ45" s="88"/>
      <c r="AR45" s="88"/>
      <c r="AS45" s="93"/>
      <c r="AT45" s="91"/>
      <c r="AU45" s="91"/>
      <c r="AV45" s="91"/>
      <c r="AW45" s="92"/>
      <c r="AX45" s="88"/>
      <c r="AY45" s="88"/>
      <c r="AZ45" s="93"/>
      <c r="BA45" s="91"/>
      <c r="BB45" s="91"/>
      <c r="BC45" s="91"/>
      <c r="BD45" s="92"/>
      <c r="BE45" s="88"/>
      <c r="BF45" s="88"/>
      <c r="BG45" s="118"/>
    </row>
    <row r="46" spans="2:59" x14ac:dyDescent="0.25">
      <c r="B46" s="42" t="str">
        <f>Base!G34</f>
        <v>54 Procédure d'installation</v>
      </c>
      <c r="C46" s="93"/>
      <c r="D46" s="91"/>
      <c r="E46" s="91"/>
      <c r="F46" s="91"/>
      <c r="G46" s="92"/>
      <c r="H46" s="88"/>
      <c r="I46" s="88"/>
      <c r="J46" s="93"/>
      <c r="K46" s="91"/>
      <c r="L46" s="91"/>
      <c r="M46" s="91"/>
      <c r="N46" s="92"/>
      <c r="O46" s="88"/>
      <c r="P46" s="88"/>
      <c r="Q46" s="93"/>
      <c r="R46" s="91"/>
      <c r="S46" s="91"/>
      <c r="T46" s="91"/>
      <c r="U46" s="92"/>
      <c r="V46" s="185"/>
      <c r="W46" s="186"/>
      <c r="X46" s="186"/>
      <c r="Y46" s="186"/>
      <c r="Z46" s="186"/>
      <c r="AA46" s="186"/>
      <c r="AB46" s="186"/>
      <c r="AC46" s="186"/>
      <c r="AD46" s="187"/>
      <c r="AE46" s="93"/>
      <c r="AF46" s="91"/>
      <c r="AG46" s="91"/>
      <c r="AH46" s="91"/>
      <c r="AI46" s="92"/>
      <c r="AJ46" s="88"/>
      <c r="AK46" s="88"/>
      <c r="AL46" s="93"/>
      <c r="AM46" s="91"/>
      <c r="AN46" s="91"/>
      <c r="AO46" s="91"/>
      <c r="AP46" s="92"/>
      <c r="AQ46" s="88"/>
      <c r="AR46" s="88"/>
      <c r="AS46" s="93"/>
      <c r="AT46" s="91"/>
      <c r="AU46" s="91"/>
      <c r="AV46" s="91"/>
      <c r="AW46" s="92"/>
      <c r="AX46" s="88"/>
      <c r="AY46" s="88"/>
      <c r="AZ46" s="98"/>
      <c r="BA46" s="99"/>
      <c r="BB46" s="99"/>
      <c r="BC46" s="99"/>
      <c r="BD46" s="100"/>
      <c r="BE46" s="88"/>
      <c r="BF46" s="88"/>
      <c r="BG46" s="117"/>
    </row>
    <row r="47" spans="2:59" x14ac:dyDescent="0.25">
      <c r="B47" s="42" t="str">
        <f>Base!G35</f>
        <v>55 Procédure de mise en service</v>
      </c>
      <c r="C47" s="93"/>
      <c r="D47" s="91"/>
      <c r="E47" s="91"/>
      <c r="F47" s="91"/>
      <c r="G47" s="92"/>
      <c r="H47" s="88"/>
      <c r="I47" s="88"/>
      <c r="J47" s="93"/>
      <c r="K47" s="91"/>
      <c r="L47" s="91"/>
      <c r="M47" s="91"/>
      <c r="N47" s="92"/>
      <c r="O47" s="88"/>
      <c r="P47" s="88"/>
      <c r="Q47" s="93"/>
      <c r="R47" s="91"/>
      <c r="S47" s="91"/>
      <c r="T47" s="91"/>
      <c r="U47" s="92"/>
      <c r="V47" s="185"/>
      <c r="W47" s="186"/>
      <c r="X47" s="186"/>
      <c r="Y47" s="186"/>
      <c r="Z47" s="186"/>
      <c r="AA47" s="186"/>
      <c r="AB47" s="186"/>
      <c r="AC47" s="186"/>
      <c r="AD47" s="187"/>
      <c r="AE47" s="93"/>
      <c r="AF47" s="91"/>
      <c r="AG47" s="91"/>
      <c r="AH47" s="91"/>
      <c r="AI47" s="92"/>
      <c r="AJ47" s="88"/>
      <c r="AK47" s="88"/>
      <c r="AL47" s="93"/>
      <c r="AM47" s="91"/>
      <c r="AN47" s="91"/>
      <c r="AO47" s="91"/>
      <c r="AP47" s="92"/>
      <c r="AQ47" s="88"/>
      <c r="AR47" s="88"/>
      <c r="AS47" s="98"/>
      <c r="AT47" s="99"/>
      <c r="AU47" s="99"/>
      <c r="AV47" s="99"/>
      <c r="AW47" s="100"/>
      <c r="AX47" s="88"/>
      <c r="AY47" s="88"/>
      <c r="AZ47" s="98"/>
      <c r="BA47" s="99"/>
      <c r="BB47" s="99"/>
      <c r="BC47" s="99"/>
      <c r="BD47" s="100"/>
      <c r="BE47" s="88"/>
      <c r="BF47" s="88"/>
      <c r="BG47" s="117"/>
    </row>
    <row r="48" spans="2:59" ht="15.75" thickBot="1" x14ac:dyDescent="0.3">
      <c r="B48" s="119" t="str">
        <f>Base!G36</f>
        <v>56 Commentaires du code</v>
      </c>
      <c r="C48" s="120"/>
      <c r="D48" s="121"/>
      <c r="E48" s="121"/>
      <c r="F48" s="121"/>
      <c r="G48" s="122"/>
      <c r="H48" s="123"/>
      <c r="I48" s="123"/>
      <c r="J48" s="120"/>
      <c r="K48" s="121"/>
      <c r="L48" s="121"/>
      <c r="M48" s="121"/>
      <c r="N48" s="122"/>
      <c r="O48" s="123"/>
      <c r="P48" s="123"/>
      <c r="Q48" s="124"/>
      <c r="R48" s="125"/>
      <c r="S48" s="125"/>
      <c r="T48" s="125"/>
      <c r="U48" s="126"/>
      <c r="V48" s="188"/>
      <c r="W48" s="189"/>
      <c r="X48" s="189"/>
      <c r="Y48" s="189"/>
      <c r="Z48" s="189"/>
      <c r="AA48" s="189"/>
      <c r="AB48" s="189"/>
      <c r="AC48" s="189"/>
      <c r="AD48" s="190"/>
      <c r="AE48" s="124"/>
      <c r="AF48" s="125"/>
      <c r="AG48" s="125"/>
      <c r="AH48" s="125"/>
      <c r="AI48" s="126"/>
      <c r="AJ48" s="123"/>
      <c r="AK48" s="123"/>
      <c r="AL48" s="124"/>
      <c r="AM48" s="125"/>
      <c r="AN48" s="125"/>
      <c r="AO48" s="125"/>
      <c r="AP48" s="126"/>
      <c r="AQ48" s="123"/>
      <c r="AR48" s="123"/>
      <c r="AS48" s="124"/>
      <c r="AT48" s="125"/>
      <c r="AU48" s="125"/>
      <c r="AV48" s="125"/>
      <c r="AW48" s="126"/>
      <c r="AX48" s="123"/>
      <c r="AY48" s="123"/>
      <c r="AZ48" s="124"/>
      <c r="BA48" s="125"/>
      <c r="BB48" s="125"/>
      <c r="BC48" s="125"/>
      <c r="BD48" s="126"/>
      <c r="BE48" s="123"/>
      <c r="BF48" s="123"/>
      <c r="BG48" s="127"/>
    </row>
  </sheetData>
  <mergeCells count="18">
    <mergeCell ref="B5:BG6"/>
    <mergeCell ref="B13:BG14"/>
    <mergeCell ref="V7:AD12"/>
    <mergeCell ref="B21:BG22"/>
    <mergeCell ref="V15:AD20"/>
    <mergeCell ref="AE4:AK4"/>
    <mergeCell ref="AL4:AR4"/>
    <mergeCell ref="AS4:AY4"/>
    <mergeCell ref="AZ4:BF4"/>
    <mergeCell ref="C4:I4"/>
    <mergeCell ref="J4:P4"/>
    <mergeCell ref="Q4:W4"/>
    <mergeCell ref="X4:AD4"/>
    <mergeCell ref="B33:BG34"/>
    <mergeCell ref="B41:BG42"/>
    <mergeCell ref="V23:AD32"/>
    <mergeCell ref="V35:AD40"/>
    <mergeCell ref="V43:AD4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A1:F48"/>
  <sheetViews>
    <sheetView tabSelected="1" workbookViewId="0">
      <pane ySplit="3" topLeftCell="A4" activePane="bottomLeft" state="frozen"/>
      <selection pane="bottomLeft" activeCell="A12" sqref="A12"/>
    </sheetView>
  </sheetViews>
  <sheetFormatPr baseColWidth="10" defaultRowHeight="15" x14ac:dyDescent="0.25"/>
  <cols>
    <col min="1" max="2" width="11.42578125" style="87"/>
    <col min="3" max="3" width="31.7109375" style="87" customWidth="1"/>
    <col min="4" max="4" width="11" style="87" customWidth="1"/>
    <col min="5" max="5" width="50.42578125" customWidth="1"/>
    <col min="6" max="6" width="11.42578125" style="87"/>
  </cols>
  <sheetData>
    <row r="1" spans="1:6" x14ac:dyDescent="0.25">
      <c r="A1" s="78" t="s">
        <v>6</v>
      </c>
      <c r="B1" s="78"/>
      <c r="C1" s="79" t="str">
        <f>CONCATENATE(Base!C3," ",Base!D3)</f>
        <v>Costa Paola</v>
      </c>
      <c r="D1" s="80"/>
      <c r="E1" s="43">
        <f ca="1">TODAY()</f>
        <v>44231</v>
      </c>
    </row>
    <row r="2" spans="1:6" ht="15.75" thickBot="1" x14ac:dyDescent="0.3">
      <c r="A2" s="79" t="s">
        <v>12</v>
      </c>
      <c r="B2" s="80"/>
      <c r="C2" s="80"/>
      <c r="D2" s="80"/>
      <c r="E2" s="1"/>
    </row>
    <row r="3" spans="1:6" ht="15.75" thickBot="1" x14ac:dyDescent="0.3">
      <c r="A3" s="81" t="s">
        <v>1</v>
      </c>
      <c r="B3" s="81" t="s">
        <v>4</v>
      </c>
      <c r="C3" s="82" t="s">
        <v>7</v>
      </c>
      <c r="D3" s="81" t="s">
        <v>2</v>
      </c>
      <c r="E3" s="139" t="s">
        <v>3</v>
      </c>
      <c r="F3" s="140" t="s">
        <v>74</v>
      </c>
    </row>
    <row r="4" spans="1:6" x14ac:dyDescent="0.25">
      <c r="A4" s="83">
        <v>44228</v>
      </c>
      <c r="B4" s="84">
        <f>WEEKNUM(A4,1)</f>
        <v>6</v>
      </c>
      <c r="C4" s="85" t="s">
        <v>54</v>
      </c>
      <c r="D4" s="86">
        <v>4.1666666666666664E-2</v>
      </c>
      <c r="E4" s="63" t="s">
        <v>37</v>
      </c>
      <c r="F4" s="141" t="s">
        <v>76</v>
      </c>
    </row>
    <row r="5" spans="1:6" x14ac:dyDescent="0.25">
      <c r="A5" s="56">
        <v>44228</v>
      </c>
      <c r="B5" s="57">
        <f>WEEKNUM(A5,1)</f>
        <v>6</v>
      </c>
      <c r="C5" s="58" t="s">
        <v>58</v>
      </c>
      <c r="D5" s="59">
        <v>6.9444444444444441E-3</v>
      </c>
      <c r="E5" s="41" t="s">
        <v>56</v>
      </c>
      <c r="F5" s="142"/>
    </row>
    <row r="6" spans="1:6" x14ac:dyDescent="0.25">
      <c r="A6" s="56">
        <v>44228</v>
      </c>
      <c r="B6" s="57">
        <f t="shared" ref="B6:B48" si="0">WEEKNUM(A6,1)</f>
        <v>6</v>
      </c>
      <c r="C6" s="58" t="s">
        <v>54</v>
      </c>
      <c r="D6" s="59">
        <v>2.0833333333333332E-2</v>
      </c>
      <c r="E6" s="60" t="s">
        <v>62</v>
      </c>
      <c r="F6" s="142" t="s">
        <v>75</v>
      </c>
    </row>
    <row r="7" spans="1:6" x14ac:dyDescent="0.25">
      <c r="A7" s="56">
        <v>44230</v>
      </c>
      <c r="B7" s="57">
        <f t="shared" si="0"/>
        <v>6</v>
      </c>
      <c r="C7" s="58" t="s">
        <v>51</v>
      </c>
      <c r="D7" s="59">
        <v>2.0833333333333332E-2</v>
      </c>
      <c r="E7" s="40" t="s">
        <v>63</v>
      </c>
      <c r="F7" s="142" t="s">
        <v>75</v>
      </c>
    </row>
    <row r="8" spans="1:6" ht="30" x14ac:dyDescent="0.25">
      <c r="A8" s="56">
        <v>44230</v>
      </c>
      <c r="B8" s="57">
        <f t="shared" si="0"/>
        <v>6</v>
      </c>
      <c r="C8" s="58" t="s">
        <v>55</v>
      </c>
      <c r="D8" s="59">
        <v>2.0833333333333332E-2</v>
      </c>
      <c r="E8" s="41" t="s">
        <v>64</v>
      </c>
      <c r="F8" s="142" t="s">
        <v>76</v>
      </c>
    </row>
    <row r="9" spans="1:6" x14ac:dyDescent="0.25">
      <c r="A9" s="56">
        <v>44231</v>
      </c>
      <c r="B9" s="57">
        <f t="shared" si="0"/>
        <v>6</v>
      </c>
      <c r="C9" s="58" t="s">
        <v>55</v>
      </c>
      <c r="D9" s="59">
        <v>2.0833333333333332E-2</v>
      </c>
      <c r="E9" s="41" t="s">
        <v>73</v>
      </c>
      <c r="F9" s="142" t="s">
        <v>75</v>
      </c>
    </row>
    <row r="10" spans="1:6" x14ac:dyDescent="0.25">
      <c r="A10" s="56">
        <v>44231</v>
      </c>
      <c r="B10" s="57">
        <f t="shared" si="0"/>
        <v>6</v>
      </c>
      <c r="C10" s="58" t="s">
        <v>52</v>
      </c>
      <c r="D10" s="59">
        <v>2.0833333333333332E-2</v>
      </c>
      <c r="E10" s="41" t="s">
        <v>77</v>
      </c>
      <c r="F10" s="142" t="s">
        <v>75</v>
      </c>
    </row>
    <row r="11" spans="1:6" x14ac:dyDescent="0.25">
      <c r="A11" s="56">
        <v>44231</v>
      </c>
      <c r="B11" s="57">
        <f t="shared" si="0"/>
        <v>6</v>
      </c>
      <c r="C11" s="58" t="s">
        <v>30</v>
      </c>
      <c r="D11" s="59">
        <v>1.3888888888888888E-2</v>
      </c>
      <c r="E11" s="41" t="s">
        <v>78</v>
      </c>
      <c r="F11" s="142" t="s">
        <v>79</v>
      </c>
    </row>
    <row r="12" spans="1:6" x14ac:dyDescent="0.25">
      <c r="A12" s="56"/>
      <c r="B12" s="57">
        <f t="shared" si="0"/>
        <v>0</v>
      </c>
      <c r="C12" s="58"/>
      <c r="D12" s="59"/>
      <c r="E12" s="41"/>
      <c r="F12" s="142"/>
    </row>
    <row r="13" spans="1:6" x14ac:dyDescent="0.25">
      <c r="A13" s="56"/>
      <c r="B13" s="57">
        <f t="shared" si="0"/>
        <v>0</v>
      </c>
      <c r="C13" s="58"/>
      <c r="D13" s="59"/>
      <c r="E13" s="41"/>
      <c r="F13" s="142"/>
    </row>
    <row r="14" spans="1:6" x14ac:dyDescent="0.25">
      <c r="A14" s="56"/>
      <c r="B14" s="57">
        <f t="shared" si="0"/>
        <v>0</v>
      </c>
      <c r="C14" s="58"/>
      <c r="D14" s="59"/>
      <c r="E14" s="41"/>
      <c r="F14" s="142"/>
    </row>
    <row r="15" spans="1:6" x14ac:dyDescent="0.25">
      <c r="A15" s="56"/>
      <c r="B15" s="57">
        <f t="shared" si="0"/>
        <v>0</v>
      </c>
      <c r="C15" s="58"/>
      <c r="D15" s="59"/>
      <c r="E15" s="41"/>
      <c r="F15" s="142"/>
    </row>
    <row r="16" spans="1:6" x14ac:dyDescent="0.25">
      <c r="A16" s="56"/>
      <c r="B16" s="57">
        <f t="shared" si="0"/>
        <v>0</v>
      </c>
      <c r="C16" s="58"/>
      <c r="D16" s="59"/>
      <c r="E16" s="41"/>
      <c r="F16" s="142"/>
    </row>
    <row r="17" spans="1:6" x14ac:dyDescent="0.25">
      <c r="A17" s="56"/>
      <c r="B17" s="57">
        <f t="shared" si="0"/>
        <v>0</v>
      </c>
      <c r="C17" s="58"/>
      <c r="D17" s="59"/>
      <c r="E17" s="41"/>
      <c r="F17" s="142"/>
    </row>
    <row r="18" spans="1:6" x14ac:dyDescent="0.25">
      <c r="A18" s="56"/>
      <c r="B18" s="57">
        <f t="shared" si="0"/>
        <v>0</v>
      </c>
      <c r="C18" s="58"/>
      <c r="D18" s="59"/>
      <c r="E18" s="41"/>
      <c r="F18" s="142"/>
    </row>
    <row r="19" spans="1:6" ht="16.5" customHeight="1" x14ac:dyDescent="0.25">
      <c r="A19" s="56"/>
      <c r="B19" s="57">
        <f t="shared" si="0"/>
        <v>0</v>
      </c>
      <c r="C19" s="58"/>
      <c r="D19" s="59"/>
      <c r="E19" s="40"/>
      <c r="F19" s="142"/>
    </row>
    <row r="20" spans="1:6" x14ac:dyDescent="0.25">
      <c r="A20" s="56"/>
      <c r="B20" s="57">
        <f t="shared" si="0"/>
        <v>0</v>
      </c>
      <c r="C20" s="58"/>
      <c r="D20" s="59"/>
      <c r="E20" s="41"/>
      <c r="F20" s="142"/>
    </row>
    <row r="21" spans="1:6" x14ac:dyDescent="0.25">
      <c r="A21" s="56"/>
      <c r="B21" s="57">
        <f t="shared" si="0"/>
        <v>0</v>
      </c>
      <c r="C21" s="58"/>
      <c r="D21" s="59"/>
      <c r="E21" s="41"/>
      <c r="F21" s="142"/>
    </row>
    <row r="22" spans="1:6" x14ac:dyDescent="0.25">
      <c r="A22" s="56"/>
      <c r="B22" s="57">
        <f t="shared" si="0"/>
        <v>0</v>
      </c>
      <c r="C22" s="58"/>
      <c r="D22" s="59"/>
      <c r="E22" s="41"/>
      <c r="F22" s="142"/>
    </row>
    <row r="23" spans="1:6" x14ac:dyDescent="0.25">
      <c r="A23" s="56"/>
      <c r="B23" s="57">
        <f t="shared" si="0"/>
        <v>0</v>
      </c>
      <c r="C23" s="58"/>
      <c r="D23" s="59"/>
      <c r="E23" s="41"/>
      <c r="F23" s="142"/>
    </row>
    <row r="24" spans="1:6" x14ac:dyDescent="0.25">
      <c r="A24" s="56"/>
      <c r="B24" s="57">
        <f t="shared" si="0"/>
        <v>0</v>
      </c>
      <c r="C24" s="58"/>
      <c r="D24" s="59"/>
      <c r="E24" s="41"/>
      <c r="F24" s="142"/>
    </row>
    <row r="25" spans="1:6" x14ac:dyDescent="0.25">
      <c r="A25" s="56"/>
      <c r="B25" s="57">
        <f t="shared" si="0"/>
        <v>0</v>
      </c>
      <c r="C25" s="58"/>
      <c r="D25" s="59"/>
      <c r="E25" s="41"/>
      <c r="F25" s="142"/>
    </row>
    <row r="26" spans="1:6" x14ac:dyDescent="0.25">
      <c r="A26" s="56"/>
      <c r="B26" s="57">
        <f t="shared" si="0"/>
        <v>0</v>
      </c>
      <c r="C26" s="58"/>
      <c r="D26" s="59"/>
      <c r="E26" s="41"/>
      <c r="F26" s="142"/>
    </row>
    <row r="27" spans="1:6" x14ac:dyDescent="0.25">
      <c r="A27" s="56"/>
      <c r="B27" s="57">
        <f t="shared" si="0"/>
        <v>0</v>
      </c>
      <c r="C27" s="58"/>
      <c r="D27" s="59"/>
      <c r="E27" s="41"/>
      <c r="F27" s="142"/>
    </row>
    <row r="28" spans="1:6" x14ac:dyDescent="0.25">
      <c r="A28" s="56"/>
      <c r="B28" s="57">
        <f t="shared" si="0"/>
        <v>0</v>
      </c>
      <c r="C28" s="58"/>
      <c r="D28" s="59"/>
      <c r="E28" s="41"/>
      <c r="F28" s="142"/>
    </row>
    <row r="29" spans="1:6" x14ac:dyDescent="0.25">
      <c r="A29" s="56"/>
      <c r="B29" s="57">
        <f t="shared" si="0"/>
        <v>0</v>
      </c>
      <c r="C29" s="58"/>
      <c r="D29" s="59"/>
      <c r="E29" s="41"/>
      <c r="F29" s="142"/>
    </row>
    <row r="30" spans="1:6" x14ac:dyDescent="0.25">
      <c r="A30" s="56"/>
      <c r="B30" s="57">
        <f t="shared" si="0"/>
        <v>0</v>
      </c>
      <c r="C30" s="58"/>
      <c r="D30" s="59"/>
      <c r="E30" s="41"/>
      <c r="F30" s="142"/>
    </row>
    <row r="31" spans="1:6" x14ac:dyDescent="0.25">
      <c r="A31" s="56"/>
      <c r="B31" s="57">
        <f t="shared" si="0"/>
        <v>0</v>
      </c>
      <c r="C31" s="58"/>
      <c r="D31" s="59"/>
      <c r="E31" s="41"/>
      <c r="F31" s="142"/>
    </row>
    <row r="32" spans="1:6" x14ac:dyDescent="0.25">
      <c r="A32" s="56"/>
      <c r="B32" s="57">
        <f t="shared" si="0"/>
        <v>0</v>
      </c>
      <c r="C32" s="58"/>
      <c r="D32" s="59"/>
      <c r="E32" s="41"/>
      <c r="F32" s="142"/>
    </row>
    <row r="33" spans="1:6" x14ac:dyDescent="0.25">
      <c r="A33" s="56"/>
      <c r="B33" s="57">
        <f t="shared" si="0"/>
        <v>0</v>
      </c>
      <c r="C33" s="58"/>
      <c r="D33" s="59"/>
      <c r="E33" s="41"/>
      <c r="F33" s="142"/>
    </row>
    <row r="34" spans="1:6" x14ac:dyDescent="0.25">
      <c r="A34" s="56"/>
      <c r="B34" s="57">
        <f t="shared" si="0"/>
        <v>0</v>
      </c>
      <c r="C34" s="58"/>
      <c r="D34" s="59"/>
      <c r="E34" s="41"/>
      <c r="F34" s="142"/>
    </row>
    <row r="35" spans="1:6" x14ac:dyDescent="0.25">
      <c r="A35" s="56"/>
      <c r="B35" s="57">
        <f t="shared" si="0"/>
        <v>0</v>
      </c>
      <c r="C35" s="58"/>
      <c r="D35" s="59"/>
      <c r="E35" s="41"/>
      <c r="F35" s="142"/>
    </row>
    <row r="36" spans="1:6" x14ac:dyDescent="0.25">
      <c r="A36" s="56"/>
      <c r="B36" s="57">
        <f t="shared" si="0"/>
        <v>0</v>
      </c>
      <c r="C36" s="58"/>
      <c r="D36" s="59"/>
      <c r="E36" s="41"/>
      <c r="F36" s="142"/>
    </row>
    <row r="37" spans="1:6" x14ac:dyDescent="0.25">
      <c r="A37" s="56"/>
      <c r="B37" s="57">
        <f t="shared" si="0"/>
        <v>0</v>
      </c>
      <c r="C37" s="58"/>
      <c r="D37" s="59"/>
      <c r="E37" s="41"/>
      <c r="F37" s="142"/>
    </row>
    <row r="38" spans="1:6" x14ac:dyDescent="0.25">
      <c r="A38" s="56"/>
      <c r="B38" s="57">
        <f t="shared" si="0"/>
        <v>0</v>
      </c>
      <c r="C38" s="58"/>
      <c r="D38" s="59"/>
      <c r="E38" s="41"/>
      <c r="F38" s="142"/>
    </row>
    <row r="39" spans="1:6" x14ac:dyDescent="0.25">
      <c r="A39" s="56"/>
      <c r="B39" s="57">
        <f t="shared" si="0"/>
        <v>0</v>
      </c>
      <c r="C39" s="58"/>
      <c r="D39" s="59"/>
      <c r="E39" s="41"/>
      <c r="F39" s="142"/>
    </row>
    <row r="40" spans="1:6" x14ac:dyDescent="0.25">
      <c r="A40" s="56"/>
      <c r="B40" s="57">
        <f t="shared" si="0"/>
        <v>0</v>
      </c>
      <c r="C40" s="58"/>
      <c r="D40" s="59"/>
      <c r="E40" s="41"/>
      <c r="F40" s="142"/>
    </row>
    <row r="41" spans="1:6" x14ac:dyDescent="0.25">
      <c r="A41" s="56"/>
      <c r="B41" s="57">
        <f t="shared" si="0"/>
        <v>0</v>
      </c>
      <c r="C41" s="58"/>
      <c r="D41" s="59"/>
      <c r="E41" s="41"/>
      <c r="F41" s="142"/>
    </row>
    <row r="42" spans="1:6" x14ac:dyDescent="0.25">
      <c r="A42" s="56"/>
      <c r="B42" s="57">
        <f t="shared" si="0"/>
        <v>0</v>
      </c>
      <c r="C42" s="58"/>
      <c r="D42" s="59"/>
      <c r="E42" s="41"/>
      <c r="F42" s="142"/>
    </row>
    <row r="43" spans="1:6" x14ac:dyDescent="0.25">
      <c r="A43" s="56"/>
      <c r="B43" s="57">
        <f t="shared" si="0"/>
        <v>0</v>
      </c>
      <c r="C43" s="58"/>
      <c r="D43" s="59"/>
      <c r="E43" s="41"/>
      <c r="F43" s="142"/>
    </row>
    <row r="44" spans="1:6" x14ac:dyDescent="0.25">
      <c r="A44" s="56"/>
      <c r="B44" s="57">
        <f t="shared" si="0"/>
        <v>0</v>
      </c>
      <c r="C44" s="58"/>
      <c r="D44" s="59"/>
      <c r="E44" s="41"/>
      <c r="F44" s="142"/>
    </row>
    <row r="45" spans="1:6" x14ac:dyDescent="0.25">
      <c r="A45" s="56"/>
      <c r="B45" s="57">
        <f t="shared" si="0"/>
        <v>0</v>
      </c>
      <c r="C45" s="58"/>
      <c r="D45" s="59"/>
      <c r="E45" s="41"/>
      <c r="F45" s="142"/>
    </row>
    <row r="46" spans="1:6" x14ac:dyDescent="0.25">
      <c r="A46" s="56"/>
      <c r="B46" s="57">
        <f t="shared" si="0"/>
        <v>0</v>
      </c>
      <c r="C46" s="58"/>
      <c r="D46" s="59"/>
      <c r="E46" s="41"/>
      <c r="F46" s="142"/>
    </row>
    <row r="47" spans="1:6" x14ac:dyDescent="0.25">
      <c r="A47" s="56"/>
      <c r="B47" s="57">
        <f t="shared" si="0"/>
        <v>0</v>
      </c>
      <c r="C47" s="58"/>
      <c r="D47" s="59"/>
      <c r="E47" s="41"/>
      <c r="F47" s="142"/>
    </row>
    <row r="48" spans="1:6" x14ac:dyDescent="0.25">
      <c r="A48" s="56"/>
      <c r="B48" s="57">
        <f t="shared" si="0"/>
        <v>0</v>
      </c>
      <c r="C48" s="58"/>
      <c r="D48" s="59"/>
      <c r="E48" s="41"/>
      <c r="F48" s="142"/>
    </row>
  </sheetData>
  <conditionalFormatting sqref="F1:F1048576">
    <cfRule type="containsText" dxfId="1" priority="2" operator="containsText" text="Terminé">
      <formula>NOT(ISERROR(SEARCH("Terminé",F1)))</formula>
    </cfRule>
    <cfRule type="containsText" dxfId="0" priority="1" operator="containsText" text="En cours">
      <formula>NOT(ISERROR(SEARCH("En cours",F1)))</formula>
    </cfRule>
  </conditionalFormatting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C4:C48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Diagramme planif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2021-02-01T22:56:30Z</cp:lastPrinted>
  <dcterms:created xsi:type="dcterms:W3CDTF">2015-01-22T08:10:30Z</dcterms:created>
  <dcterms:modified xsi:type="dcterms:W3CDTF">2021-02-04T14:08:55Z</dcterms:modified>
</cp:coreProperties>
</file>