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gestionStocks_preTPI\"/>
    </mc:Choice>
  </mc:AlternateContent>
  <bookViews>
    <workbookView xWindow="1200" yWindow="30" windowWidth="24960" windowHeight="12750" firstSheet="2" activeTab="4"/>
  </bookViews>
  <sheets>
    <sheet name="Base" sheetId="7" r:id="rId1"/>
    <sheet name="Planning" sheetId="1" r:id="rId2"/>
    <sheet name="Planif initiale" sheetId="8" r:id="rId3"/>
    <sheet name="Planif finale" sheetId="9" r:id="rId4"/>
    <sheet name="Journal" sheetId="6" r:id="rId5"/>
  </sheets>
  <definedNames>
    <definedName name="_xlnm.Print_Area" localSheetId="1">Planning!$A$1:$U$101</definedName>
  </definedNames>
  <calcPr calcId="162913"/>
</workbook>
</file>

<file path=xl/calcChain.xml><?xml version="1.0" encoding="utf-8"?>
<calcChain xmlns="http://schemas.openxmlformats.org/spreadsheetml/2006/main">
  <c r="B48" i="9" l="1"/>
  <c r="B47" i="9"/>
  <c r="B46" i="9"/>
  <c r="B45" i="9"/>
  <c r="B44" i="9"/>
  <c r="B43" i="9"/>
  <c r="B41" i="9"/>
  <c r="B40" i="9"/>
  <c r="B39" i="9"/>
  <c r="B38" i="9"/>
  <c r="B37" i="9"/>
  <c r="B36" i="9"/>
  <c r="B35" i="9"/>
  <c r="B33" i="9"/>
  <c r="B32" i="9"/>
  <c r="B31" i="9"/>
  <c r="B30" i="9"/>
  <c r="B29" i="9"/>
  <c r="B28" i="9"/>
  <c r="B27" i="9"/>
  <c r="B26" i="9"/>
  <c r="B25" i="9"/>
  <c r="B24" i="9"/>
  <c r="B23" i="9"/>
  <c r="B21" i="9"/>
  <c r="B20" i="9"/>
  <c r="B19" i="9"/>
  <c r="B18" i="9"/>
  <c r="B17" i="9"/>
  <c r="B16" i="9"/>
  <c r="B15" i="9"/>
  <c r="B13" i="9"/>
  <c r="B12" i="9"/>
  <c r="B11" i="9"/>
  <c r="B10" i="9"/>
  <c r="B9" i="9"/>
  <c r="B8" i="9"/>
  <c r="B7" i="9"/>
  <c r="B5" i="9"/>
  <c r="C3" i="9"/>
  <c r="D3" i="9" s="1"/>
  <c r="E3" i="9" s="1"/>
  <c r="F3" i="9" s="1"/>
  <c r="G3" i="9" s="1"/>
  <c r="H3" i="9" s="1"/>
  <c r="I3" i="9" s="1"/>
  <c r="J3" i="9" s="1"/>
  <c r="K3" i="9" l="1"/>
  <c r="L3" i="9" s="1"/>
  <c r="M3" i="9" s="1"/>
  <c r="N3" i="9" s="1"/>
  <c r="O3" i="9" s="1"/>
  <c r="P3" i="9" s="1"/>
  <c r="Q3" i="9" s="1"/>
  <c r="J4" i="9"/>
  <c r="C4" i="9"/>
  <c r="U89" i="1"/>
  <c r="Q4" i="9" l="1"/>
  <c r="R3" i="9"/>
  <c r="S3" i="9" s="1"/>
  <c r="T3" i="9" s="1"/>
  <c r="U3" i="9" s="1"/>
  <c r="V3" i="9" s="1"/>
  <c r="W3" i="9" s="1"/>
  <c r="X3" i="9" s="1"/>
  <c r="C3" i="8"/>
  <c r="D3" i="8" s="1"/>
  <c r="E3" i="8" s="1"/>
  <c r="F3" i="8" s="1"/>
  <c r="G3" i="8" s="1"/>
  <c r="H3" i="8" s="1"/>
  <c r="I3" i="8" s="1"/>
  <c r="J3" i="8" s="1"/>
  <c r="B41" i="8"/>
  <c r="B33" i="8"/>
  <c r="B21" i="8"/>
  <c r="B13" i="8"/>
  <c r="B5" i="8"/>
  <c r="C4" i="8"/>
  <c r="X4" i="9" l="1"/>
  <c r="Y3" i="9"/>
  <c r="Z3" i="9" s="1"/>
  <c r="AA3" i="9" s="1"/>
  <c r="AB3" i="9" s="1"/>
  <c r="AC3" i="9" s="1"/>
  <c r="AD3" i="9" s="1"/>
  <c r="AE3" i="9" s="1"/>
  <c r="J4" i="8"/>
  <c r="K3" i="8"/>
  <c r="L3" i="8" s="1"/>
  <c r="M3" i="8" s="1"/>
  <c r="N3" i="8" s="1"/>
  <c r="O3" i="8" s="1"/>
  <c r="P3" i="8" s="1"/>
  <c r="Q3" i="8" s="1"/>
  <c r="B9" i="8"/>
  <c r="B10" i="8"/>
  <c r="B11" i="8"/>
  <c r="B12" i="8"/>
  <c r="B15" i="8"/>
  <c r="B16" i="8"/>
  <c r="B17" i="8"/>
  <c r="B18" i="8"/>
  <c r="B19" i="8"/>
  <c r="B20" i="8"/>
  <c r="B23" i="8"/>
  <c r="B24" i="8"/>
  <c r="B25" i="8"/>
  <c r="B26" i="8"/>
  <c r="B27" i="8"/>
  <c r="B28" i="8"/>
  <c r="B29" i="8"/>
  <c r="B30" i="8"/>
  <c r="B31" i="8"/>
  <c r="B32" i="8"/>
  <c r="B35" i="8"/>
  <c r="B36" i="8"/>
  <c r="B37" i="8"/>
  <c r="B38" i="8"/>
  <c r="B39" i="8"/>
  <c r="B40" i="8"/>
  <c r="B43" i="8"/>
  <c r="B44" i="8"/>
  <c r="B45" i="8"/>
  <c r="B46" i="8"/>
  <c r="B47" i="8"/>
  <c r="B48" i="8"/>
  <c r="B8" i="8"/>
  <c r="B7" i="8"/>
  <c r="AF3" i="9" l="1"/>
  <c r="AG3" i="9" s="1"/>
  <c r="AH3" i="9" s="1"/>
  <c r="AI3" i="9" s="1"/>
  <c r="AJ3" i="9" s="1"/>
  <c r="AK3" i="9" s="1"/>
  <c r="AL3" i="9" s="1"/>
  <c r="AE4" i="9"/>
  <c r="Q4" i="8"/>
  <c r="R3" i="8"/>
  <c r="S3" i="8" s="1"/>
  <c r="T3" i="8" s="1"/>
  <c r="U3" i="8" s="1"/>
  <c r="V3" i="8" s="1"/>
  <c r="W3" i="8" s="1"/>
  <c r="X3" i="8" s="1"/>
  <c r="B99" i="1"/>
  <c r="B97" i="1"/>
  <c r="B95" i="1"/>
  <c r="B93" i="1"/>
  <c r="B91" i="1"/>
  <c r="B89" i="1"/>
  <c r="B85" i="1"/>
  <c r="B83" i="1"/>
  <c r="B81" i="1"/>
  <c r="B79" i="1"/>
  <c r="B77" i="1"/>
  <c r="B75" i="1"/>
  <c r="AL4" i="9" l="1"/>
  <c r="AM3" i="9"/>
  <c r="AN3" i="9" s="1"/>
  <c r="AO3" i="9" s="1"/>
  <c r="AP3" i="9" s="1"/>
  <c r="AQ3" i="9" s="1"/>
  <c r="AR3" i="9" s="1"/>
  <c r="AS3" i="9" s="1"/>
  <c r="Y3" i="8"/>
  <c r="Z3" i="8" s="1"/>
  <c r="AA3" i="8" s="1"/>
  <c r="AB3" i="8" s="1"/>
  <c r="AC3" i="8" s="1"/>
  <c r="AD3" i="8" s="1"/>
  <c r="AE3" i="8" s="1"/>
  <c r="X4" i="8"/>
  <c r="B71" i="1"/>
  <c r="B69" i="1"/>
  <c r="B67" i="1"/>
  <c r="B65" i="1"/>
  <c r="B63" i="1"/>
  <c r="B61" i="1"/>
  <c r="U39" i="1"/>
  <c r="C40" i="1"/>
  <c r="C39" i="1"/>
  <c r="B39" i="1"/>
  <c r="U27" i="1"/>
  <c r="U29" i="1"/>
  <c r="U31" i="1"/>
  <c r="U33" i="1"/>
  <c r="U35" i="1"/>
  <c r="U25" i="1"/>
  <c r="AS4" i="9" l="1"/>
  <c r="AT3" i="9"/>
  <c r="AU3" i="9" s="1"/>
  <c r="AV3" i="9" s="1"/>
  <c r="AW3" i="9" s="1"/>
  <c r="AX3" i="9" s="1"/>
  <c r="AY3" i="9" s="1"/>
  <c r="AZ3" i="9" s="1"/>
  <c r="AF3" i="8"/>
  <c r="AG3" i="8" s="1"/>
  <c r="AH3" i="8" s="1"/>
  <c r="AI3" i="8" s="1"/>
  <c r="AJ3" i="8" s="1"/>
  <c r="AK3" i="8" s="1"/>
  <c r="AL3" i="8" s="1"/>
  <c r="AE4" i="8"/>
  <c r="U53" i="1"/>
  <c r="B57" i="1"/>
  <c r="B55" i="1"/>
  <c r="C56" i="1"/>
  <c r="U55" i="1"/>
  <c r="C55" i="1"/>
  <c r="B53" i="1"/>
  <c r="C54" i="1"/>
  <c r="C53" i="1"/>
  <c r="B51" i="1"/>
  <c r="C52" i="1"/>
  <c r="U51" i="1"/>
  <c r="C51" i="1"/>
  <c r="AZ4" i="9" l="1"/>
  <c r="BA3" i="9"/>
  <c r="BB3" i="9" s="1"/>
  <c r="BC3" i="9" s="1"/>
  <c r="BD3" i="9" s="1"/>
  <c r="BE3" i="9" s="1"/>
  <c r="BF3" i="9" s="1"/>
  <c r="BG3" i="9" s="1"/>
  <c r="BG4" i="9" s="1"/>
  <c r="AM3" i="8"/>
  <c r="AN3" i="8" s="1"/>
  <c r="AO3" i="8" s="1"/>
  <c r="AP3" i="8" s="1"/>
  <c r="AQ3" i="8" s="1"/>
  <c r="AR3" i="8" s="1"/>
  <c r="AS3" i="8" s="1"/>
  <c r="AL4" i="8"/>
  <c r="B3" i="1"/>
  <c r="C12" i="1"/>
  <c r="E8" i="1"/>
  <c r="G8" i="1"/>
  <c r="I8" i="1"/>
  <c r="K8" i="1"/>
  <c r="M8" i="1"/>
  <c r="O8" i="1"/>
  <c r="Q8" i="1"/>
  <c r="S8" i="1"/>
  <c r="D1" i="6"/>
  <c r="U13" i="1"/>
  <c r="U15" i="1"/>
  <c r="U17" i="1"/>
  <c r="U19" i="1"/>
  <c r="U21" i="1"/>
  <c r="U41" i="1"/>
  <c r="U43" i="1"/>
  <c r="U45" i="1"/>
  <c r="U47" i="1"/>
  <c r="U49" i="1"/>
  <c r="U57" i="1"/>
  <c r="U61" i="1"/>
  <c r="U63" i="1"/>
  <c r="U65" i="1"/>
  <c r="U67" i="1"/>
  <c r="U69" i="1"/>
  <c r="U71" i="1"/>
  <c r="U75" i="1"/>
  <c r="U77" i="1"/>
  <c r="U79" i="1"/>
  <c r="U81" i="1"/>
  <c r="U83" i="1"/>
  <c r="U85" i="1"/>
  <c r="U91" i="1"/>
  <c r="U93" i="1"/>
  <c r="U95" i="1"/>
  <c r="U97" i="1"/>
  <c r="U99" i="1"/>
  <c r="B49" i="1"/>
  <c r="B47" i="1"/>
  <c r="B45" i="1"/>
  <c r="B43" i="1"/>
  <c r="B41" i="1"/>
  <c r="B35" i="1"/>
  <c r="B33" i="1"/>
  <c r="B31" i="1"/>
  <c r="B29" i="1"/>
  <c r="B27" i="1"/>
  <c r="B25" i="1"/>
  <c r="U11" i="1"/>
  <c r="C36" i="1"/>
  <c r="C34" i="1"/>
  <c r="C32" i="1"/>
  <c r="C30" i="1"/>
  <c r="C28" i="1"/>
  <c r="C26" i="1"/>
  <c r="C35" i="1"/>
  <c r="C33" i="1"/>
  <c r="C31" i="1"/>
  <c r="C29" i="1"/>
  <c r="C27" i="1"/>
  <c r="C25" i="1"/>
  <c r="U23" i="1" s="1"/>
  <c r="A23" i="1"/>
  <c r="B13" i="1"/>
  <c r="C10" i="6"/>
  <c r="C11" i="6"/>
  <c r="C12" i="6"/>
  <c r="C13" i="6"/>
  <c r="C14" i="6"/>
  <c r="C15" i="6"/>
  <c r="C16" i="6"/>
  <c r="C17"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4" i="6" l="1"/>
  <c r="AT3" i="8"/>
  <c r="AU3" i="8" s="1"/>
  <c r="AV3" i="8" s="1"/>
  <c r="AW3" i="8" s="1"/>
  <c r="AX3" i="8" s="1"/>
  <c r="AY3" i="8" s="1"/>
  <c r="AZ3" i="8" s="1"/>
  <c r="AS4" i="8"/>
  <c r="B15" i="1"/>
  <c r="BA3" i="8" l="1"/>
  <c r="BB3" i="8" s="1"/>
  <c r="BC3" i="8" s="1"/>
  <c r="BD3" i="8" s="1"/>
  <c r="BE3" i="8" s="1"/>
  <c r="BF3" i="8" s="1"/>
  <c r="BG3" i="8" s="1"/>
  <c r="BG4" i="8" s="1"/>
  <c r="AZ4" i="8"/>
  <c r="C5" i="6"/>
  <c r="B21" i="1" l="1"/>
  <c r="B19" i="1"/>
  <c r="B17" i="1"/>
  <c r="B11" i="1"/>
  <c r="A87" i="1"/>
  <c r="A73" i="1"/>
  <c r="A59" i="1"/>
  <c r="A37" i="1"/>
  <c r="A9" i="1"/>
  <c r="D4" i="1"/>
  <c r="C95" i="1"/>
  <c r="C81" i="1"/>
  <c r="C69" i="1" l="1"/>
  <c r="C19" i="1"/>
  <c r="C21" i="1"/>
  <c r="C57" i="1"/>
  <c r="C99" i="1"/>
  <c r="C97" i="1"/>
  <c r="C93" i="1"/>
  <c r="C91" i="1"/>
  <c r="C89" i="1"/>
  <c r="C9" i="6" l="1"/>
  <c r="C8" i="6"/>
  <c r="C6" i="6"/>
  <c r="C4" i="6"/>
  <c r="D8" i="1"/>
  <c r="F4" i="1"/>
  <c r="F8" i="1" s="1"/>
  <c r="C96" i="1" l="1"/>
  <c r="C70" i="1"/>
  <c r="C82" i="1"/>
  <c r="C58" i="1"/>
  <c r="C20" i="1"/>
  <c r="C22" i="1"/>
  <c r="C92" i="1"/>
  <c r="C100" i="1"/>
  <c r="C94" i="1"/>
  <c r="C90" i="1"/>
  <c r="C98" i="1"/>
  <c r="H4" i="1"/>
  <c r="C86" i="1"/>
  <c r="C85" i="1"/>
  <c r="C84" i="1"/>
  <c r="C83" i="1"/>
  <c r="C80" i="1"/>
  <c r="C79" i="1"/>
  <c r="C78" i="1"/>
  <c r="C77" i="1"/>
  <c r="C76" i="1"/>
  <c r="C75" i="1"/>
  <c r="C72" i="1"/>
  <c r="C71" i="1"/>
  <c r="C68" i="1"/>
  <c r="C67" i="1"/>
  <c r="C66" i="1"/>
  <c r="C65" i="1"/>
  <c r="C64" i="1"/>
  <c r="C63" i="1"/>
  <c r="C62" i="1"/>
  <c r="C61" i="1"/>
  <c r="C50" i="1"/>
  <c r="C49" i="1"/>
  <c r="C48" i="1"/>
  <c r="C47" i="1"/>
  <c r="C46" i="1"/>
  <c r="C45" i="1"/>
  <c r="C44" i="1"/>
  <c r="C43" i="1"/>
  <c r="C42" i="1"/>
  <c r="C41" i="1"/>
  <c r="C18" i="1"/>
  <c r="C17" i="1"/>
  <c r="C16" i="1"/>
  <c r="C15" i="1"/>
  <c r="C14" i="1"/>
  <c r="C13" i="1"/>
  <c r="C11" i="1"/>
  <c r="H8" i="1" l="1"/>
  <c r="J4" i="1"/>
  <c r="D5" i="1"/>
  <c r="U73" i="1"/>
  <c r="U87" i="1"/>
  <c r="U37" i="1"/>
  <c r="U59" i="1"/>
  <c r="U9" i="1"/>
  <c r="N5" i="1"/>
  <c r="F5" i="1"/>
  <c r="P5" i="1"/>
  <c r="H5" i="1"/>
  <c r="R5" i="1"/>
  <c r="J5" i="1"/>
  <c r="T5" i="1"/>
  <c r="L5" i="1"/>
  <c r="J8" i="1"/>
  <c r="B5" i="1" l="1"/>
  <c r="L4" i="1"/>
  <c r="L8" i="1" s="1"/>
  <c r="N4" i="1" l="1"/>
  <c r="N8" i="1" s="1"/>
  <c r="P4" i="1" l="1"/>
  <c r="P8" i="1" s="1"/>
  <c r="R4" i="1" l="1"/>
  <c r="R8" i="1" s="1"/>
  <c r="T4" i="1" l="1"/>
  <c r="T8" i="1" s="1"/>
  <c r="T26" i="1" l="1"/>
  <c r="T30" i="1"/>
  <c r="C7" i="6"/>
  <c r="T34" i="1" s="1"/>
  <c r="T36" i="1" l="1"/>
  <c r="T32" i="1"/>
  <c r="F40" i="1"/>
  <c r="I52" i="1"/>
  <c r="E54" i="1"/>
  <c r="O54" i="1"/>
  <c r="E56" i="1"/>
  <c r="O50" i="1"/>
  <c r="S58" i="1"/>
  <c r="K54" i="1"/>
  <c r="I90" i="1"/>
  <c r="S92" i="1"/>
  <c r="D86" i="1"/>
  <c r="F52" i="1"/>
  <c r="O26" i="1"/>
  <c r="Q26" i="1"/>
  <c r="G36" i="1"/>
  <c r="M30" i="1"/>
  <c r="E28" i="1"/>
  <c r="O30" i="1"/>
  <c r="G32" i="1"/>
  <c r="M28" i="1"/>
  <c r="F26" i="1"/>
  <c r="D28" i="1"/>
  <c r="M54" i="1"/>
  <c r="G52" i="1"/>
  <c r="M56" i="1"/>
  <c r="Q54" i="1"/>
  <c r="K52" i="1"/>
  <c r="G50" i="1"/>
  <c r="E90" i="1"/>
  <c r="S90" i="1"/>
  <c r="M92" i="1"/>
  <c r="F56" i="1"/>
  <c r="I32" i="1"/>
  <c r="O32" i="1"/>
  <c r="I26" i="1"/>
  <c r="K34" i="1"/>
  <c r="E32" i="1"/>
  <c r="K28" i="1"/>
  <c r="M34" i="1"/>
  <c r="Q30" i="1"/>
  <c r="F32" i="1"/>
  <c r="D30" i="1"/>
  <c r="D40" i="1"/>
  <c r="O52" i="1"/>
  <c r="M52" i="1"/>
  <c r="Q58" i="1"/>
  <c r="K56" i="1"/>
  <c r="K58" i="1"/>
  <c r="M50" i="1"/>
  <c r="K90" i="1"/>
  <c r="E92" i="1"/>
  <c r="I92" i="1"/>
  <c r="D56" i="1"/>
  <c r="F50" i="1"/>
  <c r="Q34" i="1"/>
  <c r="E36" i="1"/>
  <c r="G30" i="1"/>
  <c r="M36" i="1"/>
  <c r="Q28" i="1"/>
  <c r="E30" i="1"/>
  <c r="S28" i="1"/>
  <c r="I36" i="1"/>
  <c r="F30" i="1"/>
  <c r="D34" i="1"/>
  <c r="E50" i="1"/>
  <c r="O56" i="1"/>
  <c r="S52" i="1"/>
  <c r="S56" i="1"/>
  <c r="Q56" i="1"/>
  <c r="G58" i="1"/>
  <c r="Q52" i="1"/>
  <c r="O90" i="1"/>
  <c r="G92" i="1"/>
  <c r="O92" i="1"/>
  <c r="F90" i="1"/>
  <c r="F58" i="1"/>
  <c r="S36" i="1"/>
  <c r="G26" i="1"/>
  <c r="I34" i="1"/>
  <c r="M26" i="1"/>
  <c r="O28" i="1"/>
  <c r="S34" i="1"/>
  <c r="M32" i="1"/>
  <c r="K32" i="1"/>
  <c r="F36" i="1"/>
  <c r="D32" i="1"/>
  <c r="G54" i="1"/>
  <c r="E58" i="1"/>
  <c r="I54" i="1"/>
  <c r="I58" i="1"/>
  <c r="O58" i="1"/>
  <c r="E52" i="1"/>
  <c r="S50" i="1"/>
  <c r="M90" i="1"/>
  <c r="K92" i="1"/>
  <c r="Q90" i="1"/>
  <c r="F92" i="1"/>
  <c r="D54" i="1"/>
  <c r="S30" i="1"/>
  <c r="S26" i="1"/>
  <c r="K36" i="1"/>
  <c r="O34" i="1"/>
  <c r="I28" i="1"/>
  <c r="I30" i="1"/>
  <c r="G34" i="1"/>
  <c r="G28" i="1"/>
  <c r="F28" i="1"/>
  <c r="D36" i="1"/>
  <c r="K50" i="1"/>
  <c r="Q50" i="1"/>
  <c r="G56" i="1"/>
  <c r="I56" i="1"/>
  <c r="I50" i="1"/>
  <c r="M58" i="1"/>
  <c r="S54" i="1"/>
  <c r="G90" i="1"/>
  <c r="Q92" i="1"/>
  <c r="D92" i="1"/>
  <c r="F54" i="1"/>
  <c r="D52" i="1"/>
  <c r="E26" i="1"/>
  <c r="E34" i="1"/>
  <c r="K26" i="1"/>
  <c r="Q36" i="1"/>
  <c r="O36" i="1"/>
  <c r="S32" i="1"/>
  <c r="Q32" i="1"/>
  <c r="K30" i="1"/>
  <c r="F34" i="1"/>
  <c r="D26" i="1"/>
  <c r="H58" i="1"/>
  <c r="H50" i="1"/>
  <c r="H92" i="1"/>
  <c r="J54" i="1"/>
  <c r="H26" i="1"/>
  <c r="H36" i="1"/>
  <c r="H52" i="1"/>
  <c r="H40" i="1"/>
  <c r="J58" i="1"/>
  <c r="H32" i="1"/>
  <c r="J40" i="1"/>
  <c r="J92" i="1"/>
  <c r="J56" i="1"/>
  <c r="H30" i="1"/>
  <c r="H54" i="1"/>
  <c r="J90" i="1"/>
  <c r="H28" i="1"/>
  <c r="H90" i="1"/>
  <c r="J52" i="1"/>
  <c r="H56" i="1"/>
  <c r="J50" i="1"/>
  <c r="H34" i="1"/>
  <c r="L40" i="1"/>
  <c r="L58" i="1"/>
  <c r="J26" i="1"/>
  <c r="J28" i="1"/>
  <c r="L92" i="1"/>
  <c r="L50" i="1"/>
  <c r="J32" i="1"/>
  <c r="L90" i="1"/>
  <c r="J30" i="1"/>
  <c r="L54" i="1"/>
  <c r="J36" i="1"/>
  <c r="J34" i="1"/>
  <c r="L56" i="1"/>
  <c r="L52" i="1"/>
  <c r="N40" i="1"/>
  <c r="N58" i="1"/>
  <c r="L28" i="1"/>
  <c r="L30" i="1"/>
  <c r="N92" i="1"/>
  <c r="N54" i="1"/>
  <c r="L34" i="1"/>
  <c r="N90" i="1"/>
  <c r="L26" i="1"/>
  <c r="L32" i="1"/>
  <c r="N50" i="1"/>
  <c r="N52" i="1"/>
  <c r="N56" i="1"/>
  <c r="L36" i="1"/>
  <c r="P40" i="1"/>
  <c r="P54" i="1"/>
  <c r="N30" i="1"/>
  <c r="P90" i="1"/>
  <c r="P56" i="1"/>
  <c r="N36" i="1"/>
  <c r="P92" i="1"/>
  <c r="N28" i="1"/>
  <c r="N34" i="1"/>
  <c r="P52" i="1"/>
  <c r="P58" i="1"/>
  <c r="N26" i="1"/>
  <c r="P50" i="1"/>
  <c r="N32" i="1"/>
  <c r="R40" i="1"/>
  <c r="R52" i="1"/>
  <c r="P26" i="1"/>
  <c r="R90" i="1"/>
  <c r="R58" i="1"/>
  <c r="P32" i="1"/>
  <c r="R92" i="1"/>
  <c r="P30" i="1"/>
  <c r="P36" i="1"/>
  <c r="R50" i="1"/>
  <c r="R54" i="1"/>
  <c r="P28" i="1"/>
  <c r="R56" i="1"/>
  <c r="P34" i="1"/>
  <c r="T40" i="1"/>
  <c r="T54" i="1"/>
  <c r="R28" i="1"/>
  <c r="T90" i="1"/>
  <c r="T50" i="1"/>
  <c r="R34" i="1"/>
  <c r="R32" i="1"/>
  <c r="T92" i="1"/>
  <c r="R26" i="1"/>
  <c r="T58" i="1"/>
  <c r="T52" i="1"/>
  <c r="R30" i="1"/>
  <c r="T56" i="1"/>
  <c r="R36" i="1"/>
  <c r="T28" i="1"/>
  <c r="R14" i="1"/>
  <c r="D12" i="1"/>
  <c r="R80" i="1"/>
  <c r="D84" i="1"/>
  <c r="T86" i="1"/>
  <c r="F42" i="1"/>
  <c r="R12" i="1"/>
  <c r="L42" i="1"/>
  <c r="T12" i="1"/>
  <c r="J48" i="1"/>
  <c r="H72" i="1"/>
  <c r="L66" i="1"/>
  <c r="D76" i="1"/>
  <c r="R66" i="1"/>
  <c r="H68" i="1"/>
  <c r="D14" i="1"/>
  <c r="N48" i="1"/>
  <c r="L68" i="1"/>
  <c r="D66" i="1"/>
  <c r="F76" i="1"/>
  <c r="F16" i="1"/>
  <c r="F96" i="1"/>
  <c r="D70" i="1"/>
  <c r="F22" i="1"/>
  <c r="D58" i="1"/>
  <c r="D94" i="1"/>
  <c r="F100" i="1"/>
  <c r="F94" i="1"/>
  <c r="F98" i="1"/>
  <c r="F70" i="1"/>
  <c r="D82" i="1"/>
  <c r="F20" i="1"/>
  <c r="F82" i="1"/>
  <c r="D20" i="1"/>
  <c r="D98" i="1"/>
  <c r="D96" i="1"/>
  <c r="D22" i="1"/>
  <c r="D100" i="1"/>
  <c r="H96" i="1"/>
  <c r="H98" i="1"/>
  <c r="H94" i="1"/>
  <c r="H100" i="1"/>
  <c r="H82" i="1"/>
  <c r="H70" i="1"/>
  <c r="H22" i="1"/>
  <c r="H20" i="1"/>
  <c r="J20" i="1"/>
  <c r="J98" i="1"/>
  <c r="J82" i="1"/>
  <c r="J70" i="1"/>
  <c r="J100" i="1"/>
  <c r="J22" i="1"/>
  <c r="J96" i="1"/>
  <c r="J94" i="1"/>
  <c r="L98" i="1"/>
  <c r="L70" i="1"/>
  <c r="L22" i="1"/>
  <c r="L94" i="1"/>
  <c r="L20" i="1"/>
  <c r="L82" i="1"/>
  <c r="L100" i="1"/>
  <c r="L96" i="1"/>
  <c r="N20" i="1"/>
  <c r="N94" i="1"/>
  <c r="N96" i="1"/>
  <c r="N82" i="1"/>
  <c r="N98" i="1"/>
  <c r="N22" i="1"/>
  <c r="N100" i="1"/>
  <c r="N70" i="1"/>
  <c r="P82" i="1"/>
  <c r="P22" i="1"/>
  <c r="P94" i="1"/>
  <c r="P100" i="1"/>
  <c r="P20" i="1"/>
  <c r="P98" i="1"/>
  <c r="P96" i="1"/>
  <c r="P70" i="1"/>
  <c r="R70" i="1"/>
  <c r="R20" i="1"/>
  <c r="R100" i="1"/>
  <c r="R94" i="1"/>
  <c r="R96" i="1"/>
  <c r="R98" i="1"/>
  <c r="R82" i="1"/>
  <c r="R22" i="1"/>
  <c r="T82" i="1"/>
  <c r="T20" i="1"/>
  <c r="T98" i="1"/>
  <c r="T96" i="1"/>
  <c r="T94" i="1"/>
  <c r="T70" i="1"/>
  <c r="T100" i="1"/>
  <c r="T22" i="1"/>
  <c r="N68" i="1"/>
  <c r="N18" i="1"/>
  <c r="D78" i="1"/>
  <c r="N12" i="1"/>
  <c r="D64" i="1"/>
  <c r="N86" i="1"/>
  <c r="F86" i="1"/>
  <c r="J44" i="1"/>
  <c r="L80" i="1"/>
  <c r="J68" i="1"/>
  <c r="D46" i="1"/>
  <c r="D48" i="1"/>
  <c r="L48" i="1"/>
  <c r="J42" i="1"/>
  <c r="F66" i="1"/>
  <c r="H84" i="1"/>
  <c r="R44" i="1"/>
  <c r="J72" i="1"/>
  <c r="P84" i="1"/>
  <c r="T14" i="1"/>
  <c r="R42" i="1"/>
  <c r="F18" i="1"/>
  <c r="H44" i="1"/>
  <c r="R72" i="1"/>
  <c r="R68" i="1"/>
  <c r="L64" i="1"/>
  <c r="P66" i="1"/>
  <c r="J86" i="1"/>
  <c r="P44" i="1"/>
  <c r="T42" i="1"/>
  <c r="T78" i="1"/>
  <c r="J80" i="1"/>
  <c r="P46" i="1"/>
  <c r="H78" i="1"/>
  <c r="T48" i="1"/>
  <c r="T66" i="1"/>
  <c r="H76" i="1"/>
  <c r="N64" i="1"/>
  <c r="F62" i="1"/>
  <c r="F46" i="1"/>
  <c r="P80" i="1"/>
  <c r="L62" i="1"/>
  <c r="R16" i="1"/>
  <c r="T18" i="1"/>
  <c r="J66" i="1"/>
  <c r="T84" i="1"/>
  <c r="T76" i="1"/>
  <c r="N16" i="1"/>
  <c r="H14" i="1"/>
  <c r="L16" i="1"/>
  <c r="T80" i="1"/>
  <c r="P64" i="1"/>
  <c r="P16" i="1"/>
  <c r="N44" i="1"/>
  <c r="J64" i="1"/>
  <c r="F80" i="1"/>
  <c r="F64" i="1"/>
  <c r="T46" i="1"/>
  <c r="T68" i="1"/>
  <c r="L78" i="1"/>
  <c r="R62" i="1"/>
  <c r="R84" i="1"/>
  <c r="H42" i="1"/>
  <c r="P14" i="1"/>
  <c r="L84" i="1"/>
  <c r="H86" i="1"/>
  <c r="R46" i="1"/>
  <c r="H62" i="1"/>
  <c r="J46" i="1"/>
  <c r="N42" i="1"/>
  <c r="J76" i="1"/>
  <c r="J14" i="1"/>
  <c r="D80" i="1"/>
  <c r="D72" i="1"/>
  <c r="L12" i="1"/>
  <c r="P12" i="1"/>
  <c r="J84" i="1"/>
  <c r="F72" i="1"/>
  <c r="D68" i="1"/>
  <c r="P48" i="1"/>
  <c r="P62" i="1"/>
  <c r="P68" i="1"/>
  <c r="N76" i="1"/>
  <c r="P76" i="1"/>
  <c r="T16" i="1"/>
  <c r="H80" i="1"/>
  <c r="L76" i="1"/>
  <c r="L18" i="1"/>
  <c r="P78" i="1"/>
  <c r="H48" i="1"/>
  <c r="N62" i="1"/>
  <c r="P72" i="1"/>
  <c r="H64" i="1"/>
  <c r="P18" i="1"/>
  <c r="P86" i="1"/>
  <c r="T72" i="1"/>
  <c r="N84" i="1"/>
  <c r="H46" i="1"/>
  <c r="N66" i="1"/>
  <c r="F48" i="1"/>
  <c r="R18" i="1"/>
  <c r="F68" i="1"/>
  <c r="D42" i="1"/>
  <c r="D50" i="1"/>
  <c r="H12" i="1"/>
  <c r="D62" i="1"/>
  <c r="D18" i="1"/>
  <c r="D16" i="1"/>
  <c r="J12" i="1"/>
  <c r="D44" i="1"/>
  <c r="J78" i="1"/>
  <c r="J18" i="1"/>
  <c r="N72" i="1"/>
  <c r="H66" i="1"/>
  <c r="F44" i="1"/>
  <c r="R76" i="1"/>
  <c r="H16" i="1"/>
  <c r="N80" i="1"/>
  <c r="H18" i="1"/>
  <c r="L86" i="1"/>
  <c r="T44" i="1"/>
  <c r="R48" i="1"/>
  <c r="F78" i="1"/>
  <c r="R86" i="1"/>
  <c r="F14" i="1"/>
  <c r="R78" i="1"/>
  <c r="J62" i="1"/>
  <c r="T62" i="1"/>
  <c r="N78" i="1"/>
  <c r="F84" i="1"/>
  <c r="L72" i="1"/>
  <c r="J16" i="1"/>
  <c r="R64" i="1"/>
  <c r="N14" i="1"/>
  <c r="L14" i="1"/>
  <c r="P42" i="1"/>
  <c r="U28" i="1" l="1"/>
  <c r="U30" i="1"/>
  <c r="U56" i="1"/>
  <c r="U40" i="1"/>
  <c r="U26" i="1"/>
  <c r="U34" i="1"/>
  <c r="U54" i="1"/>
  <c r="U32" i="1"/>
  <c r="U52" i="1"/>
  <c r="U36" i="1"/>
  <c r="U42" i="1"/>
  <c r="U50" i="1"/>
  <c r="U18" i="1"/>
  <c r="U46" i="1"/>
  <c r="U70" i="1"/>
  <c r="U62" i="1"/>
  <c r="U64" i="1"/>
  <c r="U100" i="1"/>
  <c r="U14" i="1"/>
  <c r="U84" i="1"/>
  <c r="U86" i="1"/>
  <c r="U22" i="1"/>
  <c r="U82" i="1"/>
  <c r="U44" i="1"/>
  <c r="U96" i="1"/>
  <c r="U92" i="1"/>
  <c r="U94" i="1"/>
  <c r="U12" i="1"/>
  <c r="U72" i="1"/>
  <c r="U78" i="1"/>
  <c r="U98" i="1"/>
  <c r="U58" i="1"/>
  <c r="U66" i="1"/>
  <c r="U76" i="1"/>
  <c r="U90" i="1"/>
  <c r="U16" i="1"/>
  <c r="U68" i="1"/>
  <c r="U80" i="1"/>
  <c r="U48" i="1"/>
  <c r="U20" i="1"/>
  <c r="F6" i="1"/>
  <c r="T6" i="1"/>
  <c r="R6" i="1"/>
  <c r="P6" i="1"/>
  <c r="L6" i="1"/>
  <c r="J6" i="1"/>
  <c r="H6" i="1"/>
  <c r="N6" i="1"/>
  <c r="D6" i="1"/>
  <c r="U24" i="1" l="1"/>
  <c r="B6" i="1"/>
  <c r="U74" i="1"/>
  <c r="U38" i="1"/>
  <c r="U60" i="1"/>
  <c r="U88" i="1"/>
  <c r="U10" i="1"/>
</calcChain>
</file>

<file path=xl/sharedStrings.xml><?xml version="1.0" encoding="utf-8"?>
<sst xmlns="http://schemas.openxmlformats.org/spreadsheetml/2006/main" count="157" uniqueCount="104">
  <si>
    <t>Total</t>
  </si>
  <si>
    <t>Date</t>
  </si>
  <si>
    <t>Heures</t>
  </si>
  <si>
    <t>Remarques</t>
  </si>
  <si>
    <t>Prévu</t>
  </si>
  <si>
    <t>Nom</t>
  </si>
  <si>
    <t>Activité</t>
  </si>
  <si>
    <t>Tâches</t>
  </si>
  <si>
    <t>Prénom</t>
  </si>
  <si>
    <t>Projet</t>
  </si>
  <si>
    <t>Activités</t>
  </si>
  <si>
    <t>Journal</t>
  </si>
  <si>
    <t>Date début</t>
  </si>
  <si>
    <t>26 -</t>
  </si>
  <si>
    <t>44 -</t>
  </si>
  <si>
    <t>45 -</t>
  </si>
  <si>
    <t>46 -</t>
  </si>
  <si>
    <t>Costa</t>
  </si>
  <si>
    <t>Paola</t>
  </si>
  <si>
    <t>1 Analyse</t>
  </si>
  <si>
    <t>3 Implémentation</t>
  </si>
  <si>
    <t>5 Documentation</t>
  </si>
  <si>
    <t>Réalisé</t>
  </si>
  <si>
    <t>4 Tests</t>
  </si>
  <si>
    <t>6 Absence</t>
  </si>
  <si>
    <t>2 Conception</t>
  </si>
  <si>
    <t>21 Base de données (MCD, MLD)</t>
  </si>
  <si>
    <t>22 Maquettes</t>
  </si>
  <si>
    <t>52 Mode d'emploi utilisateur</t>
  </si>
  <si>
    <t>41 Tests unitaires</t>
  </si>
  <si>
    <t>42 Tests d'intégration</t>
  </si>
  <si>
    <t>Mise en place du fichier excel de la planification</t>
  </si>
  <si>
    <t>N° SEM</t>
  </si>
  <si>
    <t>Location</t>
  </si>
  <si>
    <t>Matériel</t>
  </si>
  <si>
    <t>32 Script insertion données</t>
  </si>
  <si>
    <t>43 Tests fonctionnels</t>
  </si>
  <si>
    <t>Planification du pré-TPI</t>
  </si>
  <si>
    <t>33  Connection à la BDD</t>
  </si>
  <si>
    <t>31 Script création BDD</t>
  </si>
  <si>
    <t>34  Ajout au stock</t>
  </si>
  <si>
    <t>35  Retrait du stock</t>
  </si>
  <si>
    <t>36 Génération de pdf</t>
  </si>
  <si>
    <t>37 Fonction recherche : mot-clé</t>
  </si>
  <si>
    <t>38 Historique de location</t>
  </si>
  <si>
    <t>13 Objectifs du projet</t>
  </si>
  <si>
    <t>14 Stratégie de tests</t>
  </si>
  <si>
    <t>15 Risques techniques</t>
  </si>
  <si>
    <t>12 Planification initiale</t>
  </si>
  <si>
    <t>11 Analyse préliminaire</t>
  </si>
  <si>
    <t>Mise en place du canevas pour le rapport complet</t>
  </si>
  <si>
    <t>51 Rapport de pré-TPI</t>
  </si>
  <si>
    <t>16 Planification définitive</t>
  </si>
  <si>
    <t>30 Base du projet C# (classe … )</t>
  </si>
  <si>
    <t>23 Diagrammes</t>
  </si>
  <si>
    <t>complétion de la planification initiale</t>
  </si>
  <si>
    <t>rédaction des objectis</t>
  </si>
  <si>
    <t>réflexion sur l'introduction au projet et comment la rédiger, prise de notes -&gt; structure du paragraphe</t>
  </si>
  <si>
    <t xml:space="preserve">semaine n° </t>
  </si>
  <si>
    <t>C</t>
  </si>
  <si>
    <t>O</t>
  </si>
  <si>
    <t>N</t>
  </si>
  <si>
    <t>G</t>
  </si>
  <si>
    <t>É</t>
  </si>
  <si>
    <t>39 Recherche : délai dépassé</t>
  </si>
  <si>
    <t>Rédaction de l'introduction</t>
  </si>
  <si>
    <t>Avancée</t>
  </si>
  <si>
    <t>Terminé</t>
  </si>
  <si>
    <t>En cours</t>
  </si>
  <si>
    <t>Rédaction de la stratégie de test</t>
  </si>
  <si>
    <t>début des maquettes</t>
  </si>
  <si>
    <t xml:space="preserve">56 - </t>
  </si>
  <si>
    <t>53 Procédure d'installation</t>
  </si>
  <si>
    <t xml:space="preserve">55 - </t>
  </si>
  <si>
    <t>54 Procédure de mise en service</t>
  </si>
  <si>
    <t>ajout de la planification initiale au dossier</t>
  </si>
  <si>
    <t>61 - réunion avec chef de projet</t>
  </si>
  <si>
    <t>rédaction des risques techniques du projet</t>
  </si>
  <si>
    <t>avancée sur maquette de l'application</t>
  </si>
  <si>
    <t>avancée sur les maquettes -&gt; la maquette de globale de l'application est terminée</t>
  </si>
  <si>
    <t>Semaine</t>
  </si>
  <si>
    <t>24 Cas d'utilisation</t>
  </si>
  <si>
    <t>25 Scénarii</t>
  </si>
  <si>
    <t>travail sur le visuel du document, avec mise en place de sections, d'une page de garde, d'une table des matières</t>
  </si>
  <si>
    <t>semaine n°</t>
  </si>
  <si>
    <t>heures effectuées</t>
  </si>
  <si>
    <t>Calcul des heures</t>
  </si>
  <si>
    <t>maquette du formulaire d'ajout d'objet faite</t>
  </si>
  <si>
    <t>fin du MCD</t>
  </si>
  <si>
    <t>création du MLD sur la base du MCD</t>
  </si>
  <si>
    <t xml:space="preserve"> </t>
  </si>
  <si>
    <t>le paragraphe concernant le MLD était hors-sujet -&gt; suppression
complétion de la partie MCD/MLD (insertion images, rédaction du texte)</t>
  </si>
  <si>
    <t>ajout du MCD au rapport (insertion image)
rédaction d'un paragraphe d'explication</t>
  </si>
  <si>
    <t>ajout de la maquette à la conception
fermeture du point maquette
correction d'une erreur de pied-de-page</t>
  </si>
  <si>
    <t>retour sur le rendu de la planification
discussion du CdC</t>
  </si>
  <si>
    <t>avancée du MCD : ajout table locataires, objets, types
création des relations</t>
  </si>
  <si>
    <t>création du diagramme de flux "ajouter objet" et "retourner objet"</t>
  </si>
  <si>
    <t>insertion des diagrammes dans le rapport
ajout des légendes aux différentes figures du document</t>
  </si>
  <si>
    <t>création du diagramme de classe -&gt; l'aide de Mme Andolfatto sera nécessaire pour certifier l'exactitude du diagramme</t>
  </si>
  <si>
    <t>discussion sur la pertinence du MCD/MLD
retour sur le rendu du rapport de la semaine précédente
-&gt; les objectifs sont mal situés, leur précision les emmène dans le concept, ceux de l'analyse préliminaire sont à refaire</t>
  </si>
  <si>
    <t>mise à jour de l'application
création des classes et du windows form principal</t>
  </si>
  <si>
    <t>discussion avec Mme Andolfatto pour valider l'exactitude du diagramme</t>
  </si>
  <si>
    <t>Création du diagramme pour les use cases</t>
  </si>
  <si>
    <t>ajout du diagramme des Use Cases
insertion des légends aux figures
insertion des sources dans le rapport
déplacement des objectifs dans le paragraphe correct, rédaction d'un texte simplifié pour les objectifs de l'analyse préliminaire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</si>
</sst>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h]&quot; h &quot;mm"/>
    <numFmt numFmtId="165" formatCode="[h]:mm"/>
    <numFmt numFmtId="166" formatCode="dd/mm/yy;@"/>
    <numFmt numFmtId="167" formatCode="[$-F400]h:mm:ss\ AM/P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1"/>
      <name val="Calibri"/>
      <family val="2"/>
      <scheme val="minor"/>
    </font>
    <font>
      <b/>
      <sz val="16"/>
      <name val="Calibri"/>
      <family val="2"/>
      <scheme val="minor"/>
    </font>
  </fonts>
  <fills count="16">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1"/>
        <bgColor indexed="64"/>
      </patternFill>
    </fill>
  </fills>
  <borders count="77">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thin">
        <color indexed="64"/>
      </left>
      <right/>
      <top/>
      <bottom/>
      <diagonal/>
    </border>
    <border>
      <left style="thin">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thin">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medium">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right style="medium">
        <color indexed="64"/>
      </right>
      <top/>
      <bottom style="dotted">
        <color indexed="64"/>
      </bottom>
      <diagonal/>
    </border>
    <border>
      <left/>
      <right style="medium">
        <color indexed="64"/>
      </right>
      <top style="dotted">
        <color indexed="64"/>
      </top>
      <bottom style="dotted">
        <color indexed="64"/>
      </bottom>
      <diagonal/>
    </border>
    <border>
      <left/>
      <right style="medium">
        <color indexed="64"/>
      </right>
      <top style="dotted">
        <color indexed="64"/>
      </top>
      <bottom style="medium">
        <color indexed="64"/>
      </bottom>
      <diagonal/>
    </border>
    <border>
      <left style="thin">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top style="dotted">
        <color indexed="64"/>
      </top>
      <bottom/>
      <diagonal/>
    </border>
    <border>
      <left/>
      <right style="dotted">
        <color indexed="64"/>
      </right>
      <top style="dotted">
        <color indexed="64"/>
      </top>
      <bottom/>
      <diagonal/>
    </border>
    <border>
      <left/>
      <right style="medium">
        <color indexed="64"/>
      </right>
      <top style="dotted">
        <color indexed="64"/>
      </top>
      <bottom/>
      <diagonal/>
    </border>
    <border>
      <left style="thin">
        <color indexed="64"/>
      </left>
      <right style="medium">
        <color indexed="64"/>
      </right>
      <top style="thin">
        <color indexed="64"/>
      </top>
      <bottom/>
      <diagonal/>
    </border>
    <border>
      <left style="thin">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top style="medium">
        <color indexed="64"/>
      </top>
      <bottom style="dotted">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dotted">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dotted">
        <color indexed="64"/>
      </top>
      <bottom/>
      <diagonal/>
    </border>
    <border>
      <left style="dotted">
        <color indexed="64"/>
      </left>
      <right/>
      <top/>
      <bottom/>
      <diagonal/>
    </border>
  </borders>
  <cellStyleXfs count="1">
    <xf numFmtId="0" fontId="0" fillId="0" borderId="0"/>
  </cellStyleXfs>
  <cellXfs count="260">
    <xf numFmtId="0" fontId="0" fillId="0" borderId="0" xfId="0"/>
    <xf numFmtId="164" fontId="2" fillId="0" borderId="0" xfId="0" applyNumberFormat="1" applyFont="1" applyBorder="1" applyAlignment="1">
      <alignment horizontal="center" vertical="center"/>
    </xf>
    <xf numFmtId="164" fontId="3" fillId="0" borderId="0" xfId="0" applyNumberFormat="1" applyFont="1" applyBorder="1" applyAlignment="1">
      <alignment horizontal="center" vertical="center"/>
    </xf>
    <xf numFmtId="164" fontId="4" fillId="0" borderId="0" xfId="0" applyNumberFormat="1" applyFont="1" applyBorder="1" applyAlignment="1">
      <alignment horizontal="left" vertical="center" wrapText="1"/>
    </xf>
    <xf numFmtId="164" fontId="4" fillId="0" borderId="0" xfId="0" applyNumberFormat="1" applyFont="1" applyBorder="1" applyAlignment="1">
      <alignment horizont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3" fillId="0" borderId="0" xfId="0" applyNumberFormat="1" applyFont="1" applyAlignment="1">
      <alignment horizontal="center" vertical="center"/>
    </xf>
    <xf numFmtId="164" fontId="5" fillId="0" borderId="6"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3" borderId="22" xfId="0" applyNumberFormat="1" applyFont="1" applyFill="1" applyBorder="1" applyAlignment="1">
      <alignment horizontal="center" vertical="center"/>
    </xf>
    <xf numFmtId="164" fontId="2" fillId="6" borderId="23" xfId="0" applyNumberFormat="1" applyFont="1" applyFill="1" applyBorder="1" applyAlignment="1">
      <alignment horizontal="center" vertical="center"/>
    </xf>
    <xf numFmtId="164" fontId="6" fillId="3" borderId="13" xfId="0" applyNumberFormat="1" applyFont="1" applyFill="1" applyBorder="1" applyAlignment="1">
      <alignment vertical="center" wrapText="1"/>
    </xf>
    <xf numFmtId="164" fontId="3" fillId="0" borderId="21" xfId="0" applyNumberFormat="1" applyFont="1" applyBorder="1" applyAlignment="1">
      <alignment horizontal="center" vertical="center"/>
    </xf>
    <xf numFmtId="164" fontId="6"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Fill="1" applyBorder="1" applyAlignment="1">
      <alignment horizontal="center" vertical="center"/>
    </xf>
    <xf numFmtId="164" fontId="3" fillId="0" borderId="25" xfId="0" applyNumberFormat="1" applyFont="1" applyBorder="1" applyAlignment="1">
      <alignment horizontal="center" vertical="center"/>
    </xf>
    <xf numFmtId="164" fontId="3" fillId="0" borderId="26" xfId="0" applyNumberFormat="1" applyFont="1" applyBorder="1" applyAlignment="1">
      <alignment horizontal="center" vertical="center"/>
    </xf>
    <xf numFmtId="164" fontId="3" fillId="0" borderId="0" xfId="0" applyNumberFormat="1" applyFont="1" applyFill="1" applyAlignment="1">
      <alignment horizontal="center" vertical="center"/>
    </xf>
    <xf numFmtId="164" fontId="6" fillId="2" borderId="18" xfId="0" applyNumberFormat="1" applyFont="1" applyFill="1" applyBorder="1" applyAlignment="1" applyProtection="1">
      <alignment vertical="center" wrapText="1"/>
      <protection locked="0"/>
    </xf>
    <xf numFmtId="164" fontId="7" fillId="0" borderId="0" xfId="0" applyNumberFormat="1" applyFont="1" applyBorder="1" applyAlignment="1">
      <alignment horizontal="center" vertical="center"/>
    </xf>
    <xf numFmtId="164" fontId="8" fillId="0" borderId="0" xfId="0" applyNumberFormat="1" applyFont="1" applyBorder="1" applyAlignment="1">
      <alignment horizontal="left" vertical="center"/>
    </xf>
    <xf numFmtId="164" fontId="9" fillId="0" borderId="0" xfId="0" applyNumberFormat="1" applyFont="1" applyBorder="1" applyAlignment="1">
      <alignment horizontal="left" vertical="center" wrapText="1"/>
    </xf>
    <xf numFmtId="164" fontId="10" fillId="0" borderId="0" xfId="0" applyNumberFormat="1" applyFont="1" applyBorder="1" applyAlignment="1">
      <alignment horizontal="center" vertical="center"/>
    </xf>
    <xf numFmtId="164" fontId="3" fillId="2" borderId="4" xfId="0" applyNumberFormat="1" applyFont="1" applyFill="1" applyBorder="1" applyAlignment="1" applyProtection="1">
      <alignment horizontal="center" vertical="center"/>
      <protection locked="0"/>
    </xf>
    <xf numFmtId="164" fontId="3" fillId="2" borderId="2" xfId="0" applyNumberFormat="1" applyFont="1" applyFill="1" applyBorder="1" applyAlignment="1" applyProtection="1">
      <alignment horizontal="center" vertical="center"/>
      <protection locked="0"/>
    </xf>
    <xf numFmtId="164" fontId="3" fillId="0" borderId="2" xfId="0" applyNumberFormat="1" applyFont="1" applyFill="1" applyBorder="1" applyAlignment="1" applyProtection="1">
      <alignment horizontal="center" vertical="center"/>
      <protection locked="0"/>
    </xf>
    <xf numFmtId="164" fontId="3" fillId="0" borderId="5" xfId="0" applyNumberFormat="1" applyFont="1" applyFill="1" applyBorder="1" applyAlignment="1" applyProtection="1">
      <alignment horizontal="center" vertical="center"/>
      <protection locked="0"/>
    </xf>
    <xf numFmtId="164" fontId="3" fillId="2" borderId="5" xfId="0" applyNumberFormat="1" applyFont="1" applyFill="1" applyBorder="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164" fontId="3" fillId="0" borderId="0" xfId="0" applyNumberFormat="1" applyFont="1" applyFill="1" applyAlignment="1" applyProtection="1">
      <alignment horizontal="center" vertical="center"/>
      <protection locked="0"/>
    </xf>
    <xf numFmtId="164" fontId="6"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2" borderId="8" xfId="0" applyFill="1" applyBorder="1" applyProtection="1">
      <protection locked="0"/>
    </xf>
    <xf numFmtId="0" fontId="0" fillId="2" borderId="2" xfId="0" applyFill="1" applyBorder="1" applyProtection="1">
      <protection locked="0"/>
    </xf>
    <xf numFmtId="0" fontId="0" fillId="2" borderId="20" xfId="0" applyFill="1" applyBorder="1" applyProtection="1">
      <protection locked="0"/>
    </xf>
    <xf numFmtId="14" fontId="0" fillId="2" borderId="24" xfId="0" applyNumberFormat="1" applyFill="1" applyBorder="1" applyProtection="1">
      <protection locked="0"/>
    </xf>
    <xf numFmtId="0" fontId="0" fillId="2" borderId="27" xfId="0" applyFill="1" applyBorder="1" applyProtection="1">
      <protection locked="0"/>
    </xf>
    <xf numFmtId="0" fontId="0" fillId="2" borderId="28" xfId="0" applyFill="1" applyBorder="1" applyProtection="1">
      <protection locked="0"/>
    </xf>
    <xf numFmtId="0" fontId="0" fillId="3" borderId="0" xfId="0" applyFill="1" applyProtection="1"/>
    <xf numFmtId="0" fontId="0" fillId="0" borderId="0" xfId="0" applyProtection="1"/>
    <xf numFmtId="164" fontId="3" fillId="0" borderId="0" xfId="0" applyNumberFormat="1" applyFont="1" applyBorder="1" applyAlignment="1">
      <alignment horizontal="center" vertical="center" textRotation="90"/>
    </xf>
    <xf numFmtId="166" fontId="2" fillId="0" borderId="24" xfId="0" applyNumberFormat="1" applyFont="1" applyBorder="1" applyAlignment="1">
      <alignment horizontal="center" vertical="center" textRotation="90" wrapText="1"/>
    </xf>
    <xf numFmtId="0" fontId="0" fillId="2" borderId="8" xfId="0" applyFill="1" applyBorder="1" applyAlignment="1" applyProtection="1">
      <alignment horizontal="left"/>
      <protection locked="0"/>
    </xf>
    <xf numFmtId="0" fontId="0" fillId="2" borderId="2" xfId="0" applyFill="1" applyBorder="1" applyAlignment="1" applyProtection="1">
      <alignment horizontal="left"/>
      <protection locked="0"/>
    </xf>
    <xf numFmtId="0" fontId="11" fillId="3" borderId="0" xfId="0" applyFont="1" applyFill="1" applyProtection="1"/>
    <xf numFmtId="0" fontId="12" fillId="3" borderId="0" xfId="0" applyFont="1" applyFill="1" applyProtection="1"/>
    <xf numFmtId="0" fontId="12" fillId="0" borderId="0" xfId="0" applyFont="1" applyProtection="1"/>
    <xf numFmtId="0" fontId="5" fillId="0" borderId="0" xfId="0" quotePrefix="1" applyNumberFormat="1" applyFont="1" applyFill="1" applyBorder="1" applyAlignment="1" applyProtection="1">
      <alignment horizontal="center" vertical="center"/>
    </xf>
    <xf numFmtId="166" fontId="2" fillId="0" borderId="8" xfId="0" applyNumberFormat="1" applyFont="1" applyFill="1" applyBorder="1" applyAlignment="1">
      <alignment horizontal="center" vertical="center" textRotation="90" wrapText="1"/>
    </xf>
    <xf numFmtId="164" fontId="5" fillId="0" borderId="11" xfId="0" applyNumberFormat="1" applyFont="1" applyFill="1" applyBorder="1" applyAlignment="1" applyProtection="1">
      <alignment horizontal="center" vertical="center"/>
    </xf>
    <xf numFmtId="164" fontId="2" fillId="0" borderId="0" xfId="0" applyNumberFormat="1" applyFont="1" applyFill="1" applyBorder="1" applyAlignment="1">
      <alignment horizontal="center" vertical="center"/>
    </xf>
    <xf numFmtId="164" fontId="4" fillId="5" borderId="10" xfId="0" applyNumberFormat="1" applyFont="1" applyFill="1" applyBorder="1" applyAlignment="1" applyProtection="1">
      <alignment vertical="top"/>
    </xf>
    <xf numFmtId="164" fontId="4" fillId="5" borderId="11" xfId="0" applyNumberFormat="1" applyFont="1" applyFill="1" applyBorder="1" applyAlignment="1" applyProtection="1">
      <alignment vertical="top"/>
    </xf>
    <xf numFmtId="164" fontId="4" fillId="5" borderId="12" xfId="0" applyNumberFormat="1" applyFont="1" applyFill="1" applyBorder="1" applyAlignment="1" applyProtection="1">
      <alignment vertical="top"/>
    </xf>
    <xf numFmtId="164" fontId="4" fillId="5" borderId="9" xfId="0" applyNumberFormat="1" applyFont="1" applyFill="1" applyBorder="1" applyAlignment="1" applyProtection="1">
      <alignment vertical="top"/>
    </xf>
    <xf numFmtId="164" fontId="3" fillId="3" borderId="22" xfId="0" applyNumberFormat="1" applyFont="1" applyFill="1" applyBorder="1" applyAlignment="1">
      <alignment horizontal="center" vertical="center"/>
    </xf>
    <xf numFmtId="164" fontId="3" fillId="6" borderId="23" xfId="0" applyNumberFormat="1" applyFont="1" applyFill="1" applyBorder="1" applyAlignment="1">
      <alignment horizontal="center" vertical="center"/>
    </xf>
    <xf numFmtId="0" fontId="0" fillId="2" borderId="33" xfId="0" applyFill="1" applyBorder="1" applyProtection="1">
      <protection locked="0"/>
    </xf>
    <xf numFmtId="0" fontId="0" fillId="0" borderId="0" xfId="0" applyAlignment="1">
      <alignment vertical="center"/>
    </xf>
    <xf numFmtId="0" fontId="0" fillId="4" borderId="34" xfId="0" applyFill="1" applyBorder="1"/>
    <xf numFmtId="0" fontId="0" fillId="0" borderId="35" xfId="0" applyFill="1" applyBorder="1"/>
    <xf numFmtId="0" fontId="0" fillId="0" borderId="35" xfId="0" applyBorder="1"/>
    <xf numFmtId="0" fontId="0" fillId="0" borderId="34" xfId="0" applyBorder="1"/>
    <xf numFmtId="0" fontId="0" fillId="4" borderId="35" xfId="0" applyFill="1" applyBorder="1"/>
    <xf numFmtId="0" fontId="0" fillId="11" borderId="35" xfId="0" applyFill="1" applyBorder="1"/>
    <xf numFmtId="0" fontId="0" fillId="10" borderId="35" xfId="0" applyFill="1" applyBorder="1"/>
    <xf numFmtId="0" fontId="0" fillId="5" borderId="35" xfId="0" applyFill="1" applyBorder="1"/>
    <xf numFmtId="0" fontId="0" fillId="12" borderId="35" xfId="0" applyFill="1" applyBorder="1"/>
    <xf numFmtId="0" fontId="0" fillId="0" borderId="37" xfId="0" applyBorder="1"/>
    <xf numFmtId="0" fontId="0" fillId="0" borderId="38" xfId="0" applyBorder="1"/>
    <xf numFmtId="164" fontId="6" fillId="2" borderId="12" xfId="0" applyNumberFormat="1" applyFont="1" applyFill="1" applyBorder="1" applyAlignment="1" applyProtection="1">
      <alignment vertical="center" wrapText="1"/>
    </xf>
    <xf numFmtId="0" fontId="0" fillId="0" borderId="40" xfId="0" applyBorder="1"/>
    <xf numFmtId="0" fontId="0" fillId="0" borderId="41" xfId="0" applyBorder="1"/>
    <xf numFmtId="14" fontId="0" fillId="0" borderId="42" xfId="0" applyNumberFormat="1" applyBorder="1" applyAlignment="1">
      <alignment vertical="center" textRotation="90"/>
    </xf>
    <xf numFmtId="14" fontId="0" fillId="0" borderId="43" xfId="0" applyNumberFormat="1" applyBorder="1" applyAlignment="1">
      <alignment vertical="center" textRotation="90"/>
    </xf>
    <xf numFmtId="0" fontId="13" fillId="0" borderId="14" xfId="0" applyFont="1" applyFill="1" applyBorder="1" applyAlignment="1">
      <alignment vertical="center"/>
    </xf>
    <xf numFmtId="0" fontId="12" fillId="0" borderId="0" xfId="0" applyFont="1" applyAlignment="1">
      <alignment vertical="center"/>
    </xf>
    <xf numFmtId="0" fontId="0" fillId="0" borderId="0" xfId="0" applyBorder="1" applyAlignment="1">
      <alignment vertical="center"/>
    </xf>
    <xf numFmtId="0" fontId="12" fillId="0" borderId="0" xfId="0" applyNumberFormat="1" applyFont="1" applyBorder="1" applyAlignment="1">
      <alignment vertical="center"/>
    </xf>
    <xf numFmtId="14" fontId="0" fillId="0" borderId="44" xfId="0" applyNumberFormat="1" applyBorder="1" applyAlignment="1">
      <alignment vertical="center" textRotation="90"/>
    </xf>
    <xf numFmtId="14" fontId="0" fillId="0" borderId="45" xfId="0" applyNumberFormat="1" applyBorder="1" applyAlignment="1">
      <alignment vertical="center" textRotation="90"/>
    </xf>
    <xf numFmtId="0" fontId="0" fillId="0" borderId="46" xfId="0" applyBorder="1"/>
    <xf numFmtId="0" fontId="0" fillId="0" borderId="47" xfId="0" applyBorder="1"/>
    <xf numFmtId="0" fontId="0" fillId="0" borderId="47" xfId="0" applyFill="1" applyBorder="1"/>
    <xf numFmtId="0" fontId="0" fillId="4" borderId="47" xfId="0" applyFill="1" applyBorder="1"/>
    <xf numFmtId="0" fontId="0" fillId="10" borderId="47" xfId="0" applyFill="1" applyBorder="1"/>
    <xf numFmtId="0" fontId="0" fillId="5" borderId="47" xfId="0" applyFill="1" applyBorder="1"/>
    <xf numFmtId="0" fontId="0" fillId="12" borderId="47" xfId="0" applyFill="1" applyBorder="1"/>
    <xf numFmtId="0" fontId="0" fillId="11" borderId="47" xfId="0" applyFill="1" applyBorder="1"/>
    <xf numFmtId="0" fontId="0" fillId="0" borderId="48" xfId="0" applyBorder="1"/>
    <xf numFmtId="0" fontId="0" fillId="0" borderId="49" xfId="0" applyBorder="1"/>
    <xf numFmtId="0" fontId="0" fillId="0" borderId="50" xfId="0" applyBorder="1"/>
    <xf numFmtId="0" fontId="0" fillId="10" borderId="50" xfId="0" applyFill="1" applyBorder="1"/>
    <xf numFmtId="0" fontId="0" fillId="5" borderId="50" xfId="0" applyFill="1" applyBorder="1"/>
    <xf numFmtId="0" fontId="0" fillId="12" borderId="50" xfId="0" applyFill="1" applyBorder="1"/>
    <xf numFmtId="0" fontId="0" fillId="11" borderId="50" xfId="0" applyFill="1" applyBorder="1"/>
    <xf numFmtId="0" fontId="0" fillId="0" borderId="52" xfId="0" applyBorder="1"/>
    <xf numFmtId="0" fontId="0" fillId="0" borderId="53" xfId="0" applyBorder="1"/>
    <xf numFmtId="0" fontId="0" fillId="0" borderId="51" xfId="0" applyBorder="1"/>
    <xf numFmtId="0" fontId="0" fillId="11" borderId="53" xfId="0" applyFill="1" applyBorder="1"/>
    <xf numFmtId="0" fontId="0" fillId="0" borderId="53" xfId="0" applyFill="1" applyBorder="1"/>
    <xf numFmtId="0" fontId="14" fillId="13" borderId="39" xfId="0" applyFont="1" applyFill="1" applyBorder="1"/>
    <xf numFmtId="0" fontId="14" fillId="13" borderId="36" xfId="0" applyFont="1" applyFill="1" applyBorder="1"/>
    <xf numFmtId="0" fontId="0" fillId="0" borderId="55" xfId="0" applyBorder="1"/>
    <xf numFmtId="0" fontId="0" fillId="0" borderId="56" xfId="0" applyBorder="1"/>
    <xf numFmtId="0" fontId="0" fillId="0" borderId="57" xfId="0" applyBorder="1"/>
    <xf numFmtId="0" fontId="0" fillId="0" borderId="58" xfId="0" applyBorder="1"/>
    <xf numFmtId="0" fontId="0" fillId="0" borderId="59" xfId="0" applyBorder="1"/>
    <xf numFmtId="0" fontId="0" fillId="5" borderId="58" xfId="0" applyFill="1" applyBorder="1"/>
    <xf numFmtId="0" fontId="0" fillId="5" borderId="56" xfId="0" applyFill="1" applyBorder="1"/>
    <xf numFmtId="0" fontId="0" fillId="5" borderId="57" xfId="0" applyFill="1" applyBorder="1"/>
    <xf numFmtId="0" fontId="0" fillId="4" borderId="57" xfId="0" applyFill="1" applyBorder="1"/>
    <xf numFmtId="164" fontId="9" fillId="2" borderId="1" xfId="0" applyNumberFormat="1" applyFont="1" applyFill="1" applyBorder="1" applyAlignment="1" applyProtection="1">
      <alignment vertical="center" wrapText="1"/>
    </xf>
    <xf numFmtId="0" fontId="12" fillId="0" borderId="60" xfId="0" applyNumberFormat="1" applyFont="1" applyBorder="1" applyAlignment="1">
      <alignment vertical="center"/>
    </xf>
    <xf numFmtId="0" fontId="0" fillId="11" borderId="37" xfId="0" applyFill="1" applyBorder="1"/>
    <xf numFmtId="0" fontId="0" fillId="11" borderId="38" xfId="0" applyFill="1" applyBorder="1"/>
    <xf numFmtId="0" fontId="0" fillId="11" borderId="46" xfId="0" applyFill="1" applyBorder="1"/>
    <xf numFmtId="0" fontId="0" fillId="11" borderId="49" xfId="0" applyFill="1" applyBorder="1"/>
    <xf numFmtId="0" fontId="0" fillId="11" borderId="52" xfId="0" applyFill="1" applyBorder="1"/>
    <xf numFmtId="0" fontId="0" fillId="12" borderId="38" xfId="0" applyFill="1" applyBorder="1"/>
    <xf numFmtId="0" fontId="0" fillId="12" borderId="46" xfId="0" applyFill="1" applyBorder="1"/>
    <xf numFmtId="0" fontId="0" fillId="12" borderId="49" xfId="0" applyFill="1" applyBorder="1"/>
    <xf numFmtId="0" fontId="0" fillId="0" borderId="38" xfId="0" applyFill="1" applyBorder="1"/>
    <xf numFmtId="0" fontId="0" fillId="0" borderId="46" xfId="0" applyFill="1" applyBorder="1"/>
    <xf numFmtId="0" fontId="0" fillId="5" borderId="38" xfId="0" applyFill="1" applyBorder="1"/>
    <xf numFmtId="0" fontId="0" fillId="5" borderId="46" xfId="0" applyFill="1" applyBorder="1"/>
    <xf numFmtId="0" fontId="0" fillId="5" borderId="49" xfId="0" applyFill="1" applyBorder="1"/>
    <xf numFmtId="0" fontId="0" fillId="0" borderId="49" xfId="0" applyFill="1" applyBorder="1"/>
    <xf numFmtId="0" fontId="0" fillId="10" borderId="38" xfId="0" applyFill="1" applyBorder="1"/>
    <xf numFmtId="164" fontId="6" fillId="2" borderId="10" xfId="0" applyNumberFormat="1" applyFont="1" applyFill="1" applyBorder="1" applyAlignment="1" applyProtection="1">
      <alignment vertical="center" wrapText="1"/>
    </xf>
    <xf numFmtId="0" fontId="0" fillId="0" borderId="61" xfId="0" applyFill="1" applyBorder="1"/>
    <xf numFmtId="0" fontId="0" fillId="4" borderId="62" xfId="0" applyFill="1" applyBorder="1"/>
    <xf numFmtId="0" fontId="0" fillId="0" borderId="63" xfId="0" applyBorder="1"/>
    <xf numFmtId="0" fontId="14" fillId="13" borderId="64" xfId="0" applyFont="1" applyFill="1" applyBorder="1"/>
    <xf numFmtId="0" fontId="14" fillId="13" borderId="65" xfId="0" applyFont="1" applyFill="1" applyBorder="1"/>
    <xf numFmtId="0" fontId="0" fillId="0" borderId="66" xfId="0" applyBorder="1"/>
    <xf numFmtId="0" fontId="0" fillId="0" borderId="62" xfId="0" applyBorder="1"/>
    <xf numFmtId="0" fontId="0" fillId="0" borderId="67" xfId="0" applyBorder="1"/>
    <xf numFmtId="0" fontId="14" fillId="13" borderId="68" xfId="0" applyFont="1" applyFill="1" applyBorder="1"/>
    <xf numFmtId="0" fontId="14" fillId="13" borderId="69" xfId="0" applyFont="1" applyFill="1" applyBorder="1"/>
    <xf numFmtId="0" fontId="0" fillId="0" borderId="51" xfId="0" applyFill="1" applyBorder="1"/>
    <xf numFmtId="0" fontId="0" fillId="0" borderId="41" xfId="0" applyFill="1" applyBorder="1"/>
    <xf numFmtId="0" fontId="0" fillId="0" borderId="48" xfId="0" applyFill="1" applyBorder="1"/>
    <xf numFmtId="0" fontId="0" fillId="0" borderId="54" xfId="0" applyFill="1" applyBorder="1"/>
    <xf numFmtId="0" fontId="0" fillId="0" borderId="50" xfId="0" applyFill="1" applyBorder="1"/>
    <xf numFmtId="0" fontId="0" fillId="0" borderId="73" xfId="0" applyBorder="1" applyAlignment="1" applyProtection="1">
      <alignment horizontal="left" vertical="top" wrapText="1"/>
      <protection locked="0"/>
    </xf>
    <xf numFmtId="0" fontId="0" fillId="0" borderId="58" xfId="0" applyFill="1" applyBorder="1"/>
    <xf numFmtId="0" fontId="0" fillId="0" borderId="56" xfId="0" applyFill="1" applyBorder="1"/>
    <xf numFmtId="0" fontId="0" fillId="0" borderId="0" xfId="0" applyAlignment="1">
      <alignment wrapText="1"/>
    </xf>
    <xf numFmtId="0" fontId="1" fillId="0" borderId="0" xfId="0" applyFont="1" applyAlignment="1">
      <alignment horizontal="left" vertical="center" wrapText="1"/>
    </xf>
    <xf numFmtId="0" fontId="1" fillId="0" borderId="0" xfId="0" applyFont="1" applyAlignment="1">
      <alignment horizontal="center" vertical="center" wrapText="1"/>
    </xf>
    <xf numFmtId="0" fontId="0" fillId="0" borderId="0" xfId="0" applyAlignment="1">
      <alignment vertical="center" wrapText="1"/>
    </xf>
    <xf numFmtId="0" fontId="0" fillId="0" borderId="0" xfId="0" applyAlignment="1">
      <alignment horizontal="center" vertical="center" wrapText="1"/>
    </xf>
    <xf numFmtId="0" fontId="1" fillId="0" borderId="7"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7" xfId="0" applyFont="1" applyFill="1" applyBorder="1" applyAlignment="1">
      <alignment horizontal="center" vertical="center" wrapText="1"/>
    </xf>
    <xf numFmtId="14" fontId="0" fillId="0" borderId="70" xfId="0" applyNumberFormat="1" applyBorder="1" applyAlignment="1" applyProtection="1">
      <alignment horizontal="center" vertical="center" wrapText="1"/>
      <protection locked="0"/>
    </xf>
    <xf numFmtId="0" fontId="0" fillId="0" borderId="20" xfId="0" applyNumberFormat="1" applyBorder="1" applyAlignment="1">
      <alignment horizontal="center" vertical="center" wrapText="1"/>
    </xf>
    <xf numFmtId="0" fontId="0" fillId="0" borderId="20" xfId="0" applyBorder="1" applyAlignment="1" applyProtection="1">
      <alignment horizontal="center" vertical="center" wrapText="1"/>
      <protection locked="0"/>
    </xf>
    <xf numFmtId="0" fontId="0" fillId="0" borderId="20" xfId="0" applyBorder="1" applyAlignment="1">
      <alignment vertical="center" wrapText="1"/>
    </xf>
    <xf numFmtId="165" fontId="0" fillId="0" borderId="20" xfId="0" applyNumberFormat="1" applyBorder="1" applyAlignment="1" applyProtection="1">
      <alignment horizontal="center" vertical="center" wrapText="1"/>
      <protection locked="0"/>
    </xf>
    <xf numFmtId="14" fontId="0" fillId="0" borderId="72" xfId="0" applyNumberFormat="1" applyBorder="1" applyAlignment="1" applyProtection="1">
      <alignment horizontal="center" vertical="center" wrapText="1"/>
      <protection locked="0"/>
    </xf>
    <xf numFmtId="0" fontId="0" fillId="0" borderId="24" xfId="0" applyNumberFormat="1" applyBorder="1" applyAlignment="1">
      <alignment horizontal="center" vertical="center" wrapText="1"/>
    </xf>
    <xf numFmtId="0" fontId="0" fillId="0" borderId="24" xfId="0" applyBorder="1" applyAlignment="1" applyProtection="1">
      <alignment horizontal="center" vertical="center" wrapText="1"/>
      <protection locked="0"/>
    </xf>
    <xf numFmtId="0" fontId="0" fillId="0" borderId="24" xfId="0" applyBorder="1" applyAlignment="1">
      <alignment vertical="center" wrapText="1"/>
    </xf>
    <xf numFmtId="165" fontId="0" fillId="0" borderId="24" xfId="0" applyNumberFormat="1" applyBorder="1" applyAlignment="1" applyProtection="1">
      <alignment horizontal="center" vertical="center" wrapText="1"/>
      <protection locked="0"/>
    </xf>
    <xf numFmtId="20" fontId="0" fillId="0" borderId="24" xfId="0" applyNumberFormat="1" applyBorder="1" applyAlignment="1">
      <alignment vertical="center" wrapText="1"/>
    </xf>
    <xf numFmtId="14" fontId="0" fillId="0" borderId="16" xfId="0" applyNumberFormat="1" applyBorder="1" applyAlignment="1" applyProtection="1">
      <alignment horizontal="center" vertical="center" wrapText="1"/>
      <protection locked="0"/>
    </xf>
    <xf numFmtId="0" fontId="0" fillId="0" borderId="74" xfId="0" applyNumberFormat="1" applyBorder="1" applyAlignment="1">
      <alignment horizontal="center" vertical="center" wrapText="1"/>
    </xf>
    <xf numFmtId="0" fontId="0" fillId="0" borderId="74" xfId="0" applyBorder="1" applyAlignment="1" applyProtection="1">
      <alignment horizontal="center" vertical="center" wrapText="1"/>
      <protection locked="0"/>
    </xf>
    <xf numFmtId="0" fontId="0" fillId="0" borderId="74" xfId="0" applyBorder="1" applyAlignment="1">
      <alignment vertical="center" wrapText="1"/>
    </xf>
    <xf numFmtId="165" fontId="0" fillId="0" borderId="74" xfId="0" applyNumberFormat="1" applyBorder="1" applyAlignment="1" applyProtection="1">
      <alignment horizontal="center" vertical="center" wrapText="1"/>
      <protection locked="0"/>
    </xf>
    <xf numFmtId="165" fontId="0" fillId="0" borderId="0" xfId="0" applyNumberFormat="1" applyAlignment="1">
      <alignment vertical="center" wrapText="1"/>
    </xf>
    <xf numFmtId="0" fontId="1" fillId="0" borderId="14" xfId="0" applyFont="1" applyBorder="1" applyAlignment="1">
      <alignment vertical="center" wrapText="1"/>
    </xf>
    <xf numFmtId="0" fontId="0" fillId="14" borderId="15" xfId="0" applyFill="1" applyBorder="1" applyAlignment="1">
      <alignment horizontal="center" vertical="center" wrapText="1"/>
    </xf>
    <xf numFmtId="0" fontId="1" fillId="0" borderId="16" xfId="0" applyFont="1" applyBorder="1" applyAlignment="1">
      <alignment vertical="center" wrapText="1"/>
    </xf>
    <xf numFmtId="167" fontId="0" fillId="0" borderId="17" xfId="0" applyNumberFormat="1" applyBorder="1" applyAlignment="1">
      <alignment vertical="center" wrapText="1"/>
    </xf>
    <xf numFmtId="14" fontId="0" fillId="0" borderId="0" xfId="0" applyNumberFormat="1" applyAlignment="1">
      <alignment horizontal="left" vertical="top" wrapText="1"/>
    </xf>
    <xf numFmtId="0" fontId="0" fillId="0" borderId="0" xfId="0" applyAlignment="1">
      <alignment horizontal="left" vertical="top" wrapText="1"/>
    </xf>
    <xf numFmtId="0" fontId="1" fillId="0" borderId="7" xfId="0" applyFont="1" applyBorder="1" applyAlignment="1">
      <alignment horizontal="left" vertical="top" wrapText="1"/>
    </xf>
    <xf numFmtId="0" fontId="0" fillId="0" borderId="71"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0" xfId="0" applyAlignment="1">
      <alignment vertical="top" wrapText="1"/>
    </xf>
    <xf numFmtId="14" fontId="0" fillId="15" borderId="72" xfId="0" applyNumberFormat="1" applyFill="1" applyBorder="1" applyAlignment="1" applyProtection="1">
      <alignment horizontal="center" vertical="center" wrapText="1"/>
      <protection locked="0"/>
    </xf>
    <xf numFmtId="0" fontId="0" fillId="15" borderId="24" xfId="0" applyNumberFormat="1" applyFill="1" applyBorder="1" applyAlignment="1">
      <alignment horizontal="center" vertical="center" wrapText="1"/>
    </xf>
    <xf numFmtId="0" fontId="0" fillId="15" borderId="24" xfId="0" applyFill="1" applyBorder="1" applyAlignment="1" applyProtection="1">
      <alignment horizontal="center" vertical="center" wrapText="1"/>
      <protection locked="0"/>
    </xf>
    <xf numFmtId="0" fontId="0" fillId="15" borderId="24" xfId="0" applyFill="1" applyBorder="1" applyAlignment="1">
      <alignment vertical="center" wrapText="1"/>
    </xf>
    <xf numFmtId="165" fontId="0" fillId="15" borderId="24" xfId="0" applyNumberFormat="1" applyFill="1" applyBorder="1" applyAlignment="1" applyProtection="1">
      <alignment horizontal="center" vertical="center" wrapText="1"/>
      <protection locked="0"/>
    </xf>
    <xf numFmtId="0" fontId="0" fillId="15" borderId="73" xfId="0" applyFill="1" applyBorder="1" applyAlignment="1" applyProtection="1">
      <alignment horizontal="left" vertical="top" wrapText="1"/>
      <protection locked="0"/>
    </xf>
    <xf numFmtId="0" fontId="14" fillId="13" borderId="0" xfId="0" applyFont="1" applyFill="1" applyBorder="1"/>
    <xf numFmtId="0" fontId="0" fillId="0" borderId="75" xfId="0" applyFill="1" applyBorder="1"/>
    <xf numFmtId="0" fontId="0" fillId="0" borderId="76" xfId="0" applyBorder="1"/>
    <xf numFmtId="0" fontId="0" fillId="0" borderId="34" xfId="0" applyFill="1" applyBorder="1"/>
    <xf numFmtId="164" fontId="4" fillId="8" borderId="10" xfId="0" applyNumberFormat="1" applyFont="1" applyFill="1" applyBorder="1" applyAlignment="1" applyProtection="1">
      <alignment horizontal="left" vertical="top"/>
    </xf>
    <xf numFmtId="164" fontId="4" fillId="8" borderId="11" xfId="0" applyNumberFormat="1" applyFont="1" applyFill="1" applyBorder="1" applyAlignment="1" applyProtection="1">
      <alignment horizontal="left" vertical="top"/>
    </xf>
    <xf numFmtId="164" fontId="4" fillId="8" borderId="12" xfId="0" applyNumberFormat="1" applyFont="1" applyFill="1" applyBorder="1" applyAlignment="1" applyProtection="1">
      <alignment horizontal="left" vertical="top"/>
    </xf>
    <xf numFmtId="164" fontId="4" fillId="8" borderId="9" xfId="0" applyNumberFormat="1" applyFont="1" applyFill="1" applyBorder="1" applyAlignment="1" applyProtection="1">
      <alignment horizontal="left" vertical="top"/>
    </xf>
    <xf numFmtId="164" fontId="4" fillId="9" borderId="10" xfId="0" applyNumberFormat="1" applyFont="1" applyFill="1" applyBorder="1" applyAlignment="1" applyProtection="1">
      <alignment horizontal="left" vertical="top"/>
    </xf>
    <xf numFmtId="164" fontId="4" fillId="9" borderId="11" xfId="0" applyNumberFormat="1" applyFont="1" applyFill="1" applyBorder="1" applyAlignment="1" applyProtection="1">
      <alignment horizontal="left" vertical="top"/>
    </xf>
    <xf numFmtId="164" fontId="4" fillId="9" borderId="12" xfId="0" applyNumberFormat="1" applyFont="1" applyFill="1" applyBorder="1" applyAlignment="1" applyProtection="1">
      <alignment horizontal="left" vertical="top"/>
    </xf>
    <xf numFmtId="164" fontId="4" fillId="9" borderId="9" xfId="0" applyNumberFormat="1" applyFont="1" applyFill="1" applyBorder="1" applyAlignment="1" applyProtection="1">
      <alignment horizontal="left" vertical="top"/>
    </xf>
    <xf numFmtId="164" fontId="6" fillId="2" borderId="10" xfId="0" applyNumberFormat="1" applyFont="1" applyFill="1" applyBorder="1" applyAlignment="1" applyProtection="1">
      <alignment horizontal="left" vertical="top" wrapText="1"/>
    </xf>
    <xf numFmtId="164" fontId="6" fillId="2" borderId="18" xfId="0" applyNumberFormat="1" applyFont="1" applyFill="1" applyBorder="1" applyAlignment="1" applyProtection="1">
      <alignment horizontal="left" vertical="top" wrapText="1"/>
    </xf>
    <xf numFmtId="164" fontId="6" fillId="2" borderId="29" xfId="0" applyNumberFormat="1" applyFont="1" applyFill="1" applyBorder="1" applyAlignment="1" applyProtection="1">
      <alignment horizontal="left" vertical="top" wrapText="1"/>
    </xf>
    <xf numFmtId="164" fontId="6" fillId="2" borderId="12" xfId="0" applyNumberFormat="1" applyFont="1" applyFill="1" applyBorder="1" applyAlignment="1" applyProtection="1">
      <alignment horizontal="left" vertical="top" wrapText="1"/>
    </xf>
    <xf numFmtId="164" fontId="8" fillId="0" borderId="0" xfId="0" applyNumberFormat="1" applyFont="1" applyBorder="1" applyAlignment="1">
      <alignment horizontal="center" vertical="center"/>
    </xf>
    <xf numFmtId="164" fontId="4" fillId="4" borderId="10" xfId="0" applyNumberFormat="1" applyFont="1" applyFill="1" applyBorder="1" applyAlignment="1" applyProtection="1">
      <alignment horizontal="left" vertical="top"/>
    </xf>
    <xf numFmtId="164" fontId="4" fillId="4" borderId="11" xfId="0" applyNumberFormat="1" applyFont="1" applyFill="1" applyBorder="1" applyAlignment="1" applyProtection="1">
      <alignment horizontal="left" vertical="top"/>
    </xf>
    <xf numFmtId="164" fontId="4" fillId="4" borderId="31" xfId="0" applyNumberFormat="1" applyFont="1" applyFill="1" applyBorder="1" applyAlignment="1" applyProtection="1">
      <alignment horizontal="left" vertical="top"/>
    </xf>
    <xf numFmtId="164" fontId="4" fillId="4" borderId="12" xfId="0" applyNumberFormat="1" applyFont="1" applyFill="1" applyBorder="1" applyAlignment="1" applyProtection="1">
      <alignment horizontal="left" vertical="top"/>
    </xf>
    <xf numFmtId="164" fontId="4" fillId="4" borderId="9" xfId="0" applyNumberFormat="1" applyFont="1" applyFill="1" applyBorder="1" applyAlignment="1" applyProtection="1">
      <alignment horizontal="left" vertical="top"/>
    </xf>
    <xf numFmtId="164" fontId="4" fillId="4" borderId="32" xfId="0" applyNumberFormat="1" applyFont="1" applyFill="1" applyBorder="1" applyAlignment="1" applyProtection="1">
      <alignment horizontal="left" vertical="top"/>
    </xf>
    <xf numFmtId="164" fontId="4" fillId="10" borderId="10" xfId="0" applyNumberFormat="1" applyFont="1" applyFill="1" applyBorder="1" applyAlignment="1" applyProtection="1">
      <alignment horizontal="left" vertical="top"/>
    </xf>
    <xf numFmtId="164" fontId="4" fillId="10" borderId="11" xfId="0" applyNumberFormat="1" applyFont="1" applyFill="1" applyBorder="1" applyAlignment="1" applyProtection="1">
      <alignment horizontal="left" vertical="top"/>
    </xf>
    <xf numFmtId="164" fontId="4" fillId="10" borderId="12" xfId="0" applyNumberFormat="1" applyFont="1" applyFill="1" applyBorder="1" applyAlignment="1" applyProtection="1">
      <alignment horizontal="left" vertical="top"/>
    </xf>
    <xf numFmtId="164" fontId="4" fillId="10" borderId="9" xfId="0" applyNumberFormat="1" applyFont="1" applyFill="1" applyBorder="1" applyAlignment="1" applyProtection="1">
      <alignment horizontal="left" vertical="top"/>
    </xf>
    <xf numFmtId="164" fontId="4" fillId="7" borderId="10" xfId="0" applyNumberFormat="1" applyFont="1" applyFill="1" applyBorder="1" applyAlignment="1" applyProtection="1">
      <alignment horizontal="left" vertical="top"/>
    </xf>
    <xf numFmtId="164" fontId="4" fillId="7" borderId="11" xfId="0" applyNumberFormat="1" applyFont="1" applyFill="1" applyBorder="1" applyAlignment="1" applyProtection="1">
      <alignment horizontal="left" vertical="top"/>
    </xf>
    <xf numFmtId="164" fontId="4" fillId="7" borderId="12" xfId="0" applyNumberFormat="1" applyFont="1" applyFill="1" applyBorder="1" applyAlignment="1" applyProtection="1">
      <alignment horizontal="left" vertical="top"/>
    </xf>
    <xf numFmtId="164" fontId="4" fillId="7" borderId="9" xfId="0" applyNumberFormat="1" applyFont="1" applyFill="1" applyBorder="1" applyAlignment="1" applyProtection="1">
      <alignment horizontal="left" vertical="top"/>
    </xf>
    <xf numFmtId="164" fontId="4" fillId="12" borderId="10" xfId="0" applyNumberFormat="1" applyFont="1" applyFill="1" applyBorder="1" applyAlignment="1" applyProtection="1">
      <alignment horizontal="left" vertical="top"/>
    </xf>
    <xf numFmtId="164" fontId="4" fillId="12" borderId="11" xfId="0" applyNumberFormat="1" applyFont="1" applyFill="1" applyBorder="1" applyAlignment="1" applyProtection="1">
      <alignment horizontal="left" vertical="top"/>
    </xf>
    <xf numFmtId="164" fontId="4" fillId="12" borderId="31" xfId="0" applyNumberFormat="1" applyFont="1" applyFill="1" applyBorder="1" applyAlignment="1" applyProtection="1">
      <alignment horizontal="left" vertical="top"/>
    </xf>
    <xf numFmtId="164" fontId="4" fillId="12" borderId="12" xfId="0" applyNumberFormat="1" applyFont="1" applyFill="1" applyBorder="1" applyAlignment="1" applyProtection="1">
      <alignment horizontal="left" vertical="top"/>
    </xf>
    <xf numFmtId="164" fontId="4" fillId="12" borderId="9" xfId="0" applyNumberFormat="1" applyFont="1" applyFill="1" applyBorder="1" applyAlignment="1" applyProtection="1">
      <alignment horizontal="left" vertical="top"/>
    </xf>
    <xf numFmtId="164" fontId="4" fillId="12" borderId="32" xfId="0" applyNumberFormat="1" applyFont="1" applyFill="1" applyBorder="1" applyAlignment="1" applyProtection="1">
      <alignment horizontal="left" vertical="top"/>
    </xf>
    <xf numFmtId="164" fontId="4" fillId="11" borderId="10" xfId="0" applyNumberFormat="1" applyFont="1" applyFill="1" applyBorder="1" applyAlignment="1" applyProtection="1">
      <alignment horizontal="left" vertical="top"/>
    </xf>
    <xf numFmtId="164" fontId="4" fillId="11" borderId="11" xfId="0" applyNumberFormat="1" applyFont="1" applyFill="1" applyBorder="1" applyAlignment="1" applyProtection="1">
      <alignment horizontal="left" vertical="top"/>
    </xf>
    <xf numFmtId="164" fontId="4" fillId="11" borderId="31" xfId="0" applyNumberFormat="1" applyFont="1" applyFill="1" applyBorder="1" applyAlignment="1" applyProtection="1">
      <alignment horizontal="left" vertical="top"/>
    </xf>
    <xf numFmtId="164" fontId="4" fillId="11" borderId="12" xfId="0" applyNumberFormat="1" applyFont="1" applyFill="1" applyBorder="1" applyAlignment="1" applyProtection="1">
      <alignment horizontal="left" vertical="top"/>
    </xf>
    <xf numFmtId="164" fontId="4" fillId="11" borderId="9" xfId="0" applyNumberFormat="1" applyFont="1" applyFill="1" applyBorder="1" applyAlignment="1" applyProtection="1">
      <alignment horizontal="left" vertical="top"/>
    </xf>
    <xf numFmtId="164" fontId="4" fillId="11" borderId="32" xfId="0" applyNumberFormat="1" applyFont="1" applyFill="1" applyBorder="1" applyAlignment="1" applyProtection="1">
      <alignment horizontal="left" vertical="top"/>
    </xf>
    <xf numFmtId="0" fontId="15" fillId="13" borderId="39" xfId="0" applyFont="1" applyFill="1" applyBorder="1" applyAlignment="1">
      <alignment horizontal="center" vertical="center" textRotation="255"/>
    </xf>
    <xf numFmtId="0" fontId="15" fillId="13" borderId="0" xfId="0" applyFont="1" applyFill="1" applyBorder="1" applyAlignment="1">
      <alignment horizontal="center" vertical="center" textRotation="255"/>
    </xf>
    <xf numFmtId="0" fontId="15" fillId="13" borderId="36" xfId="0" applyFont="1" applyFill="1" applyBorder="1" applyAlignment="1">
      <alignment horizontal="center" vertical="center" textRotation="255"/>
    </xf>
    <xf numFmtId="0" fontId="15" fillId="13" borderId="68" xfId="0" applyFont="1" applyFill="1" applyBorder="1" applyAlignment="1">
      <alignment horizontal="center" vertical="center" textRotation="255"/>
    </xf>
    <xf numFmtId="0" fontId="15" fillId="13" borderId="9" xfId="0" applyFont="1" applyFill="1" applyBorder="1" applyAlignment="1">
      <alignment horizontal="center" vertical="center" textRotation="255"/>
    </xf>
    <xf numFmtId="0" fontId="15" fillId="13" borderId="69" xfId="0" applyFont="1" applyFill="1" applyBorder="1" applyAlignment="1">
      <alignment horizontal="center" vertical="center" textRotation="255"/>
    </xf>
    <xf numFmtId="0" fontId="12" fillId="0" borderId="8" xfId="0" applyNumberFormat="1" applyFont="1" applyBorder="1" applyAlignment="1">
      <alignment horizontal="center" vertical="center"/>
    </xf>
    <xf numFmtId="164" fontId="4" fillId="10" borderId="31" xfId="0" applyNumberFormat="1" applyFont="1" applyFill="1" applyBorder="1" applyAlignment="1" applyProtection="1">
      <alignment horizontal="left" vertical="top"/>
    </xf>
    <xf numFmtId="164" fontId="4" fillId="10" borderId="32" xfId="0" applyNumberFormat="1" applyFont="1" applyFill="1" applyBorder="1" applyAlignment="1" applyProtection="1">
      <alignment horizontal="left" vertical="top"/>
    </xf>
    <xf numFmtId="0" fontId="15" fillId="13" borderId="64" xfId="0" applyFont="1" applyFill="1" applyBorder="1" applyAlignment="1">
      <alignment horizontal="center" vertical="center" textRotation="255"/>
    </xf>
    <xf numFmtId="0" fontId="15" fillId="13" borderId="11" xfId="0" applyFont="1" applyFill="1" applyBorder="1" applyAlignment="1">
      <alignment horizontal="center" vertical="center" textRotation="255"/>
    </xf>
    <xf numFmtId="0" fontId="15" fillId="13" borderId="65" xfId="0" applyFont="1" applyFill="1" applyBorder="1" applyAlignment="1">
      <alignment horizontal="center" vertical="center" textRotation="255"/>
    </xf>
    <xf numFmtId="164" fontId="4" fillId="5" borderId="10" xfId="0" applyNumberFormat="1" applyFont="1" applyFill="1" applyBorder="1" applyAlignment="1" applyProtection="1">
      <alignment horizontal="left" vertical="top"/>
    </xf>
    <xf numFmtId="164" fontId="4" fillId="5" borderId="11" xfId="0" applyNumberFormat="1" applyFont="1" applyFill="1" applyBorder="1" applyAlignment="1" applyProtection="1">
      <alignment horizontal="left" vertical="top"/>
    </xf>
    <xf numFmtId="164" fontId="4" fillId="5" borderId="31" xfId="0" applyNumberFormat="1" applyFont="1" applyFill="1" applyBorder="1" applyAlignment="1" applyProtection="1">
      <alignment horizontal="left" vertical="top"/>
    </xf>
    <xf numFmtId="164" fontId="4" fillId="5" borderId="12" xfId="0" applyNumberFormat="1" applyFont="1" applyFill="1" applyBorder="1" applyAlignment="1" applyProtection="1">
      <alignment horizontal="left" vertical="top"/>
    </xf>
    <xf numFmtId="164" fontId="4" fillId="5" borderId="9" xfId="0" applyNumberFormat="1" applyFont="1" applyFill="1" applyBorder="1" applyAlignment="1" applyProtection="1">
      <alignment horizontal="left" vertical="top"/>
    </xf>
    <xf numFmtId="164" fontId="4" fillId="5" borderId="32" xfId="0" applyNumberFormat="1" applyFont="1" applyFill="1" applyBorder="1" applyAlignment="1" applyProtection="1">
      <alignment horizontal="left" vertical="top"/>
    </xf>
  </cellXfs>
  <cellStyles count="1">
    <cellStyle name="Normal" xfId="0" builtinId="0"/>
  </cellStyles>
  <dxfs count="128">
    <dxf>
      <fill>
        <patternFill>
          <bgColor rgb="FFC1DC7E"/>
        </patternFill>
      </fill>
    </dxf>
    <dxf>
      <fill>
        <patternFill>
          <bgColor rgb="FFFFFF99"/>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colors>
    <mruColors>
      <color rgb="FFFFFF99"/>
      <color rgb="FFC1DC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H43"/>
  <sheetViews>
    <sheetView topLeftCell="B3" zoomScale="115" zoomScaleNormal="115" workbookViewId="0">
      <selection activeCell="G5" sqref="G5"/>
    </sheetView>
  </sheetViews>
  <sheetFormatPr baseColWidth="10" defaultRowHeight="15" x14ac:dyDescent="0.25"/>
  <cols>
    <col min="1" max="1" width="22.42578125" style="49" customWidth="1"/>
    <col min="2" max="2" width="14.140625" style="49" customWidth="1"/>
    <col min="3" max="3" width="16.5703125" style="49" customWidth="1"/>
    <col min="4" max="4" width="17.28515625" style="49" customWidth="1"/>
    <col min="5" max="5" width="2.85546875" style="49" customWidth="1"/>
    <col min="6" max="6" width="21.7109375" style="49" bestFit="1" customWidth="1"/>
    <col min="7" max="7" width="30.7109375" style="49" customWidth="1"/>
    <col min="8" max="8" width="2.85546875" style="49" customWidth="1"/>
    <col min="9" max="16384" width="11.42578125" style="49"/>
  </cols>
  <sheetData>
    <row r="2" spans="1:8" s="56" customFormat="1" ht="18.75" x14ac:dyDescent="0.3">
      <c r="A2" s="54" t="s">
        <v>9</v>
      </c>
      <c r="B2" s="54" t="s">
        <v>12</v>
      </c>
      <c r="C2" s="54" t="s">
        <v>5</v>
      </c>
      <c r="D2" s="54" t="s">
        <v>8</v>
      </c>
      <c r="E2" s="54"/>
      <c r="F2" s="54" t="s">
        <v>10</v>
      </c>
      <c r="G2" s="54" t="s">
        <v>7</v>
      </c>
      <c r="H2" s="55"/>
    </row>
    <row r="3" spans="1:8" x14ac:dyDescent="0.25">
      <c r="A3" s="42" t="s">
        <v>33</v>
      </c>
      <c r="B3" s="45">
        <v>44228</v>
      </c>
      <c r="C3" s="46" t="s">
        <v>17</v>
      </c>
      <c r="D3" s="47" t="s">
        <v>18</v>
      </c>
      <c r="E3" s="48"/>
      <c r="F3" s="42" t="s">
        <v>19</v>
      </c>
      <c r="G3" s="52" t="s">
        <v>49</v>
      </c>
      <c r="H3" s="48"/>
    </row>
    <row r="4" spans="1:8" x14ac:dyDescent="0.25">
      <c r="A4" s="44" t="s">
        <v>34</v>
      </c>
      <c r="B4" s="48"/>
      <c r="C4" s="48"/>
      <c r="D4" s="48"/>
      <c r="E4" s="48"/>
      <c r="F4" s="40"/>
      <c r="G4" s="53" t="s">
        <v>48</v>
      </c>
      <c r="H4" s="48"/>
    </row>
    <row r="5" spans="1:8" x14ac:dyDescent="0.25">
      <c r="A5" s="48"/>
      <c r="B5" s="48"/>
      <c r="C5" s="48"/>
      <c r="D5" s="48"/>
      <c r="E5" s="48"/>
      <c r="F5" s="40"/>
      <c r="G5" s="53" t="s">
        <v>45</v>
      </c>
      <c r="H5" s="48"/>
    </row>
    <row r="6" spans="1:8" x14ac:dyDescent="0.25">
      <c r="A6" s="48"/>
      <c r="B6" s="48"/>
      <c r="C6" s="48"/>
      <c r="D6" s="48"/>
      <c r="E6" s="48"/>
      <c r="F6" s="40"/>
      <c r="G6" s="53" t="s">
        <v>46</v>
      </c>
      <c r="H6" s="48"/>
    </row>
    <row r="7" spans="1:8" x14ac:dyDescent="0.25">
      <c r="A7" s="48"/>
      <c r="B7" s="48"/>
      <c r="C7" s="48"/>
      <c r="D7" s="48"/>
      <c r="E7" s="48"/>
      <c r="F7" s="40"/>
      <c r="G7" s="43" t="s">
        <v>47</v>
      </c>
      <c r="H7" s="48"/>
    </row>
    <row r="8" spans="1:8" x14ac:dyDescent="0.25">
      <c r="A8" s="48"/>
      <c r="B8" s="48"/>
      <c r="C8" s="48"/>
      <c r="D8" s="48"/>
      <c r="E8" s="48"/>
      <c r="F8" s="41"/>
      <c r="G8" s="44" t="s">
        <v>52</v>
      </c>
      <c r="H8" s="48"/>
    </row>
    <row r="9" spans="1:8" x14ac:dyDescent="0.25">
      <c r="A9" s="48"/>
      <c r="B9" s="48"/>
      <c r="C9" s="48"/>
      <c r="D9" s="48"/>
      <c r="E9" s="48"/>
      <c r="F9" s="42" t="s">
        <v>25</v>
      </c>
      <c r="G9" s="42" t="s">
        <v>26</v>
      </c>
      <c r="H9" s="48"/>
    </row>
    <row r="10" spans="1:8" x14ac:dyDescent="0.25">
      <c r="A10" s="48"/>
      <c r="B10" s="48"/>
      <c r="C10" s="48"/>
      <c r="D10" s="48"/>
      <c r="E10" s="48"/>
      <c r="F10" s="40"/>
      <c r="G10" s="43" t="s">
        <v>27</v>
      </c>
      <c r="H10" s="48"/>
    </row>
    <row r="11" spans="1:8" x14ac:dyDescent="0.25">
      <c r="A11" s="48"/>
      <c r="B11" s="48"/>
      <c r="C11" s="48"/>
      <c r="D11" s="48"/>
      <c r="E11" s="48"/>
      <c r="F11" s="40"/>
      <c r="G11" s="43" t="s">
        <v>54</v>
      </c>
      <c r="H11" s="48"/>
    </row>
    <row r="12" spans="1:8" x14ac:dyDescent="0.25">
      <c r="A12" s="48"/>
      <c r="B12" s="48"/>
      <c r="C12" s="48"/>
      <c r="D12" s="48"/>
      <c r="E12" s="48"/>
      <c r="F12" s="40"/>
      <c r="G12" s="43" t="s">
        <v>81</v>
      </c>
      <c r="H12" s="48"/>
    </row>
    <row r="13" spans="1:8" x14ac:dyDescent="0.25">
      <c r="A13" s="48"/>
      <c r="B13" s="48"/>
      <c r="C13" s="48"/>
      <c r="D13" s="48"/>
      <c r="E13" s="48"/>
      <c r="F13" s="40"/>
      <c r="G13" s="43" t="s">
        <v>82</v>
      </c>
      <c r="H13" s="48"/>
    </row>
    <row r="14" spans="1:8" x14ac:dyDescent="0.25">
      <c r="A14" s="48"/>
      <c r="B14" s="48"/>
      <c r="C14" s="48"/>
      <c r="D14" s="48"/>
      <c r="E14" s="48"/>
      <c r="F14" s="40"/>
      <c r="G14" s="43" t="s">
        <v>13</v>
      </c>
      <c r="H14" s="48"/>
    </row>
    <row r="15" spans="1:8" x14ac:dyDescent="0.25">
      <c r="A15" s="48"/>
      <c r="B15" s="48"/>
      <c r="C15" s="48"/>
      <c r="D15" s="48"/>
      <c r="E15" s="48"/>
      <c r="F15" s="67" t="s">
        <v>20</v>
      </c>
      <c r="G15" s="42" t="s">
        <v>53</v>
      </c>
      <c r="H15" s="48"/>
    </row>
    <row r="16" spans="1:8" x14ac:dyDescent="0.25">
      <c r="A16" s="48"/>
      <c r="B16" s="48"/>
      <c r="C16" s="48"/>
      <c r="D16" s="48"/>
      <c r="E16" s="48"/>
      <c r="F16" s="40"/>
      <c r="G16" s="53" t="s">
        <v>39</v>
      </c>
      <c r="H16" s="48"/>
    </row>
    <row r="17" spans="1:8" x14ac:dyDescent="0.25">
      <c r="A17" s="48"/>
      <c r="B17" s="48"/>
      <c r="C17" s="48"/>
      <c r="D17" s="48"/>
      <c r="E17" s="48"/>
      <c r="F17" s="40"/>
      <c r="G17" s="53" t="s">
        <v>35</v>
      </c>
      <c r="H17" s="48"/>
    </row>
    <row r="18" spans="1:8" x14ac:dyDescent="0.25">
      <c r="A18" s="48"/>
      <c r="B18" s="48"/>
      <c r="C18" s="48"/>
      <c r="D18" s="48"/>
      <c r="E18" s="48"/>
      <c r="F18" s="40"/>
      <c r="G18" s="53" t="s">
        <v>38</v>
      </c>
      <c r="H18" s="48"/>
    </row>
    <row r="19" spans="1:8" x14ac:dyDescent="0.25">
      <c r="A19" s="48"/>
      <c r="B19" s="48"/>
      <c r="C19" s="48"/>
      <c r="D19" s="48"/>
      <c r="E19" s="48"/>
      <c r="F19" s="40"/>
      <c r="G19" s="53" t="s">
        <v>40</v>
      </c>
      <c r="H19" s="48"/>
    </row>
    <row r="20" spans="1:8" x14ac:dyDescent="0.25">
      <c r="A20" s="48"/>
      <c r="B20" s="48"/>
      <c r="C20" s="48"/>
      <c r="D20" s="48"/>
      <c r="E20" s="48"/>
      <c r="F20" s="40"/>
      <c r="G20" s="53" t="s">
        <v>41</v>
      </c>
      <c r="H20" s="48"/>
    </row>
    <row r="21" spans="1:8" x14ac:dyDescent="0.25">
      <c r="A21" s="48"/>
      <c r="B21" s="48"/>
      <c r="C21" s="48"/>
      <c r="D21" s="48"/>
      <c r="E21" s="48"/>
      <c r="F21" s="40"/>
      <c r="G21" s="53" t="s">
        <v>42</v>
      </c>
      <c r="H21" s="48"/>
    </row>
    <row r="22" spans="1:8" x14ac:dyDescent="0.25">
      <c r="A22" s="48"/>
      <c r="B22" s="48"/>
      <c r="C22" s="48"/>
      <c r="D22" s="48"/>
      <c r="E22" s="48"/>
      <c r="F22" s="40"/>
      <c r="G22" s="53" t="s">
        <v>43</v>
      </c>
      <c r="H22" s="48"/>
    </row>
    <row r="23" spans="1:8" x14ac:dyDescent="0.25">
      <c r="A23" s="48"/>
      <c r="B23" s="48"/>
      <c r="C23" s="48"/>
      <c r="D23" s="48"/>
      <c r="E23" s="48"/>
      <c r="F23" s="40"/>
      <c r="G23" s="53" t="s">
        <v>44</v>
      </c>
      <c r="H23" s="48"/>
    </row>
    <row r="24" spans="1:8" x14ac:dyDescent="0.25">
      <c r="A24" s="48"/>
      <c r="B24" s="48"/>
      <c r="C24" s="48"/>
      <c r="D24" s="48"/>
      <c r="E24" s="48"/>
      <c r="F24" s="41"/>
      <c r="G24" s="53" t="s">
        <v>64</v>
      </c>
      <c r="H24" s="48"/>
    </row>
    <row r="25" spans="1:8" x14ac:dyDescent="0.25">
      <c r="A25" s="48"/>
      <c r="B25" s="48"/>
      <c r="C25" s="48"/>
      <c r="D25" s="48"/>
      <c r="E25" s="48"/>
      <c r="F25" s="42" t="s">
        <v>23</v>
      </c>
      <c r="G25" s="42" t="s">
        <v>29</v>
      </c>
      <c r="H25" s="48"/>
    </row>
    <row r="26" spans="1:8" x14ac:dyDescent="0.25">
      <c r="A26" s="48"/>
      <c r="B26" s="48"/>
      <c r="C26" s="48"/>
      <c r="D26" s="48"/>
      <c r="E26" s="48"/>
      <c r="F26" s="40"/>
      <c r="G26" s="43" t="s">
        <v>30</v>
      </c>
      <c r="H26" s="48"/>
    </row>
    <row r="27" spans="1:8" x14ac:dyDescent="0.25">
      <c r="A27" s="48"/>
      <c r="B27" s="48"/>
      <c r="C27" s="48"/>
      <c r="D27" s="48"/>
      <c r="E27" s="48"/>
      <c r="F27" s="40"/>
      <c r="G27" s="43" t="s">
        <v>36</v>
      </c>
      <c r="H27" s="48"/>
    </row>
    <row r="28" spans="1:8" x14ac:dyDescent="0.25">
      <c r="A28" s="48"/>
      <c r="B28" s="48"/>
      <c r="C28" s="48"/>
      <c r="D28" s="48"/>
      <c r="E28" s="48"/>
      <c r="F28" s="40"/>
      <c r="G28" s="43" t="s">
        <v>14</v>
      </c>
      <c r="H28" s="48"/>
    </row>
    <row r="29" spans="1:8" x14ac:dyDescent="0.25">
      <c r="A29" s="48"/>
      <c r="B29" s="48"/>
      <c r="C29" s="48"/>
      <c r="D29" s="48"/>
      <c r="E29" s="48"/>
      <c r="F29" s="40"/>
      <c r="G29" s="43" t="s">
        <v>15</v>
      </c>
      <c r="H29" s="48"/>
    </row>
    <row r="30" spans="1:8" x14ac:dyDescent="0.25">
      <c r="A30" s="48"/>
      <c r="B30" s="48"/>
      <c r="C30" s="48"/>
      <c r="D30" s="48"/>
      <c r="E30" s="48"/>
      <c r="F30" s="41"/>
      <c r="G30" s="43" t="s">
        <v>16</v>
      </c>
      <c r="H30" s="48"/>
    </row>
    <row r="31" spans="1:8" x14ac:dyDescent="0.25">
      <c r="A31" s="48"/>
      <c r="B31" s="48"/>
      <c r="C31" s="48"/>
      <c r="D31" s="48"/>
      <c r="E31" s="48"/>
      <c r="F31" s="42" t="s">
        <v>21</v>
      </c>
      <c r="G31" s="42" t="s">
        <v>51</v>
      </c>
      <c r="H31" s="48"/>
    </row>
    <row r="32" spans="1:8" x14ac:dyDescent="0.25">
      <c r="A32" s="48"/>
      <c r="B32" s="48"/>
      <c r="C32" s="48"/>
      <c r="D32" s="48"/>
      <c r="E32" s="48"/>
      <c r="F32" s="40"/>
      <c r="G32" s="43" t="s">
        <v>28</v>
      </c>
      <c r="H32" s="48"/>
    </row>
    <row r="33" spans="1:8" x14ac:dyDescent="0.25">
      <c r="A33" s="48"/>
      <c r="B33" s="48"/>
      <c r="C33" s="48"/>
      <c r="D33" s="48"/>
      <c r="E33" s="48"/>
      <c r="F33" s="40"/>
      <c r="G33" s="43" t="s">
        <v>72</v>
      </c>
      <c r="H33" s="48"/>
    </row>
    <row r="34" spans="1:8" x14ac:dyDescent="0.25">
      <c r="A34" s="48"/>
      <c r="B34" s="48"/>
      <c r="C34" s="48"/>
      <c r="D34" s="48"/>
      <c r="E34" s="48"/>
      <c r="F34" s="40"/>
      <c r="G34" s="43" t="s">
        <v>74</v>
      </c>
      <c r="H34" s="48"/>
    </row>
    <row r="35" spans="1:8" x14ac:dyDescent="0.25">
      <c r="A35" s="48"/>
      <c r="B35" s="48"/>
      <c r="C35" s="48"/>
      <c r="D35" s="48"/>
      <c r="E35" s="48"/>
      <c r="F35" s="40"/>
      <c r="G35" s="43" t="s">
        <v>73</v>
      </c>
      <c r="H35" s="48"/>
    </row>
    <row r="36" spans="1:8" x14ac:dyDescent="0.25">
      <c r="A36" s="48"/>
      <c r="B36" s="48"/>
      <c r="C36" s="48"/>
      <c r="D36" s="48"/>
      <c r="E36" s="48"/>
      <c r="F36" s="41"/>
      <c r="G36" s="43" t="s">
        <v>71</v>
      </c>
      <c r="H36" s="48"/>
    </row>
    <row r="37" spans="1:8" x14ac:dyDescent="0.25">
      <c r="A37" s="48"/>
      <c r="B37" s="48"/>
      <c r="C37" s="48"/>
      <c r="D37" s="48"/>
      <c r="E37" s="48"/>
      <c r="F37" s="42" t="s">
        <v>24</v>
      </c>
      <c r="G37" s="42" t="s">
        <v>76</v>
      </c>
      <c r="H37" s="48"/>
    </row>
    <row r="38" spans="1:8" x14ac:dyDescent="0.25">
      <c r="A38" s="48"/>
      <c r="B38" s="48"/>
      <c r="C38" s="48"/>
      <c r="D38" s="48"/>
      <c r="E38" s="48"/>
      <c r="F38" s="40"/>
      <c r="G38" s="43"/>
      <c r="H38" s="48"/>
    </row>
    <row r="39" spans="1:8" x14ac:dyDescent="0.25">
      <c r="A39" s="48"/>
      <c r="B39" s="48"/>
      <c r="C39" s="48"/>
      <c r="D39" s="48"/>
      <c r="E39" s="48"/>
      <c r="F39" s="40"/>
      <c r="G39" s="43"/>
      <c r="H39" s="48"/>
    </row>
    <row r="40" spans="1:8" x14ac:dyDescent="0.25">
      <c r="A40" s="48"/>
      <c r="B40" s="48"/>
      <c r="C40" s="48"/>
      <c r="D40" s="48"/>
      <c r="E40" s="48"/>
      <c r="F40" s="40"/>
      <c r="G40" s="43"/>
      <c r="H40" s="48"/>
    </row>
    <row r="41" spans="1:8" x14ac:dyDescent="0.25">
      <c r="A41" s="48"/>
      <c r="B41" s="48"/>
      <c r="C41" s="48"/>
      <c r="D41" s="48"/>
      <c r="E41" s="48"/>
      <c r="F41" s="40"/>
      <c r="G41" s="43"/>
      <c r="H41" s="48"/>
    </row>
    <row r="42" spans="1:8" x14ac:dyDescent="0.25">
      <c r="A42" s="48"/>
      <c r="B42" s="48"/>
      <c r="C42" s="48"/>
      <c r="D42" s="48"/>
      <c r="E42" s="48"/>
      <c r="F42" s="41"/>
      <c r="G42" s="44"/>
      <c r="H42" s="48"/>
    </row>
    <row r="43" spans="1:8" x14ac:dyDescent="0.25">
      <c r="A43" s="48"/>
      <c r="B43" s="48"/>
      <c r="C43" s="48"/>
      <c r="D43" s="48"/>
      <c r="E43" s="48"/>
      <c r="F43" s="48"/>
      <c r="G43" s="48"/>
      <c r="H43" s="48"/>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7" tint="0.39997558519241921"/>
    <pageSetUpPr fitToPage="1"/>
  </sheetPr>
  <dimension ref="A3:U100"/>
  <sheetViews>
    <sheetView showZeros="0" showWhiteSpace="0" zoomScale="55" zoomScaleNormal="55" zoomScalePageLayoutView="70" workbookViewId="0">
      <pane xSplit="20" ySplit="8" topLeftCell="U9" activePane="bottomRight" state="frozen"/>
      <selection pane="topRight" activeCell="U1" sqref="U1"/>
      <selection pane="bottomLeft" activeCell="A9" sqref="A9"/>
      <selection pane="bottomRight" activeCell="AA48" sqref="AA48"/>
    </sheetView>
  </sheetViews>
  <sheetFormatPr baseColWidth="10" defaultRowHeight="16.5" x14ac:dyDescent="0.25"/>
  <cols>
    <col min="1" max="1" width="8.5703125" style="10" customWidth="1"/>
    <col min="2" max="2" width="39.42578125" style="10" customWidth="1"/>
    <col min="3" max="3" width="10.42578125" style="10" customWidth="1"/>
    <col min="4" max="4" width="8.28515625" style="10" customWidth="1"/>
    <col min="5" max="5" width="1.42578125" style="2" customWidth="1"/>
    <col min="6" max="6" width="8" style="10" bestFit="1" customWidth="1"/>
    <col min="7" max="7" width="1.42578125" style="2" customWidth="1"/>
    <col min="8" max="8" width="7.85546875" style="10" customWidth="1"/>
    <col min="9" max="9" width="1.42578125" style="2" customWidth="1"/>
    <col min="10" max="10" width="8" style="10" customWidth="1"/>
    <col min="11" max="11" width="1.42578125" style="2" customWidth="1"/>
    <col min="12" max="12" width="7.85546875" style="10" bestFit="1" customWidth="1"/>
    <col min="13" max="13" width="1.42578125" style="2" customWidth="1"/>
    <col min="14" max="14" width="8.28515625" style="10" bestFit="1" customWidth="1"/>
    <col min="15" max="15" width="1.42578125" style="2" customWidth="1"/>
    <col min="16" max="16" width="8.28515625" style="10" bestFit="1" customWidth="1"/>
    <col min="17" max="17" width="1.42578125" style="2" customWidth="1"/>
    <col min="18" max="18" width="7.85546875" style="10" bestFit="1" customWidth="1"/>
    <col min="19" max="19" width="1.42578125" style="2" customWidth="1"/>
    <col min="20" max="20" width="7.85546875" style="10" customWidth="1"/>
    <col min="21" max="16384" width="11.42578125" style="10"/>
  </cols>
  <sheetData>
    <row r="3" spans="1:21" s="2" customFormat="1" ht="26.25" x14ac:dyDescent="0.25">
      <c r="A3" s="29"/>
      <c r="B3" s="31" t="str">
        <f>CONCATENATE(Base!A3," - ",Base!A4)</f>
        <v>Location - Matériel</v>
      </c>
      <c r="C3" s="28"/>
      <c r="D3" s="215" t="s">
        <v>37</v>
      </c>
      <c r="E3" s="215"/>
      <c r="F3" s="215"/>
      <c r="G3" s="215"/>
      <c r="H3" s="215"/>
      <c r="I3" s="215"/>
      <c r="J3" s="215"/>
      <c r="K3" s="215"/>
      <c r="L3" s="215"/>
      <c r="M3" s="215"/>
      <c r="N3" s="215"/>
      <c r="O3" s="215"/>
      <c r="P3" s="215"/>
      <c r="Q3" s="215"/>
      <c r="R3" s="215"/>
      <c r="S3" s="215"/>
      <c r="T3" s="215"/>
    </row>
    <row r="4" spans="1:21" s="7" customFormat="1" ht="59.25" customHeight="1" thickBot="1" x14ac:dyDescent="0.35">
      <c r="A4" s="30"/>
      <c r="B4" s="4" t="s">
        <v>0</v>
      </c>
      <c r="C4" s="3"/>
      <c r="D4" s="5">
        <f>Base!B3</f>
        <v>44228</v>
      </c>
      <c r="E4" s="6"/>
      <c r="F4" s="51">
        <f>D4+7</f>
        <v>44235</v>
      </c>
      <c r="G4" s="6"/>
      <c r="H4" s="5">
        <f>F4+7</f>
        <v>44242</v>
      </c>
      <c r="I4" s="6"/>
      <c r="J4" s="5">
        <f>H4+7</f>
        <v>44249</v>
      </c>
      <c r="K4" s="6"/>
      <c r="L4" s="5">
        <f>J4+7</f>
        <v>44256</v>
      </c>
      <c r="M4" s="6"/>
      <c r="N4" s="5">
        <f>L4+7</f>
        <v>44263</v>
      </c>
      <c r="O4" s="6"/>
      <c r="P4" s="51">
        <f>N4+7</f>
        <v>44270</v>
      </c>
      <c r="Q4" s="6"/>
      <c r="R4" s="58">
        <f>P4+7</f>
        <v>44277</v>
      </c>
      <c r="S4" s="6"/>
      <c r="T4" s="58">
        <f>R4+7</f>
        <v>44284</v>
      </c>
      <c r="U4" s="50"/>
    </row>
    <row r="5" spans="1:21" ht="18.75" customHeight="1" thickBot="1" x14ac:dyDescent="0.3">
      <c r="A5" s="8" t="s">
        <v>4</v>
      </c>
      <c r="B5" s="9">
        <f>SUM(D5:T5)</f>
        <v>2.833333333333333</v>
      </c>
      <c r="D5" s="11">
        <f>SUMIF($C$11:$C$10003,$C11,D$11:D$10003)</f>
        <v>0.35416666666666669</v>
      </c>
      <c r="E5" s="12"/>
      <c r="F5" s="11">
        <f>SUMIF($C$11:$C$10003,$C11,F$11:F$10003)</f>
        <v>0.38194444444444442</v>
      </c>
      <c r="G5" s="12"/>
      <c r="H5" s="11">
        <f>SUMIF($C$11:$C$10003,$C11,H$11:H$10003)</f>
        <v>0.38194444444444442</v>
      </c>
      <c r="I5" s="12"/>
      <c r="J5" s="11">
        <f>SUMIF($C$11:$C$10003,$C11,J$11:J$10003)</f>
        <v>6.9444444444444441E-3</v>
      </c>
      <c r="K5" s="12"/>
      <c r="L5" s="11">
        <f>SUMIF($C$11:$C$10003,$C11,L$11:L$10003)</f>
        <v>0.39583333333333337</v>
      </c>
      <c r="M5" s="12"/>
      <c r="N5" s="11">
        <f>SUMIF($C$11:$C$10003,$C11,N$11:N$10003)</f>
        <v>0.38194444444444448</v>
      </c>
      <c r="O5" s="12"/>
      <c r="P5" s="11">
        <f>SUMIF($C$11:$C$10003,$C11,P$11:P$10003)</f>
        <v>0.375</v>
      </c>
      <c r="Q5" s="12"/>
      <c r="R5" s="11">
        <f>SUMIF($C$11:$C$10003,$C11,R$11:R$10003)</f>
        <v>0.38194444444444436</v>
      </c>
      <c r="S5" s="12"/>
      <c r="T5" s="11">
        <f>SUMIF($C$11:$C$10003,$C11,T$11:T$10003)</f>
        <v>0.1736111111111111</v>
      </c>
    </row>
    <row r="6" spans="1:21" ht="18" customHeight="1" thickBot="1" x14ac:dyDescent="0.3">
      <c r="A6" s="14" t="s">
        <v>22</v>
      </c>
      <c r="B6" s="15">
        <f>SUM(D6:T6)</f>
        <v>0.5972222222222221</v>
      </c>
      <c r="C6" s="2"/>
      <c r="D6" s="13">
        <f>SUMIF($C$11:$C$10003,$C12,D$11:D$10003)</f>
        <v>0.26388888888888884</v>
      </c>
      <c r="E6" s="12"/>
      <c r="F6" s="13">
        <f>SUMIF($C$11:$C$10003,$C12,F$11:F$10003)</f>
        <v>0.33333333333333331</v>
      </c>
      <c r="G6" s="12"/>
      <c r="H6" s="13">
        <f>SUMIF($C$11:$C$10003,$C12,H$11:H$10003)</f>
        <v>0</v>
      </c>
      <c r="I6" s="12"/>
      <c r="J6" s="13">
        <f>SUMIF($C$11:$C$10003,$C12,J$11:J$10003)</f>
        <v>0</v>
      </c>
      <c r="K6" s="12"/>
      <c r="L6" s="13">
        <f>SUMIF($C$11:$C$10003,$C12,L$11:L$10003)</f>
        <v>0</v>
      </c>
      <c r="M6" s="12"/>
      <c r="N6" s="13">
        <f>SUMIF($C$11:$C$10003,$C12,N$11:N$10003)</f>
        <v>0</v>
      </c>
      <c r="O6" s="12"/>
      <c r="P6" s="13">
        <f>SUMIF($C$11:$C$10003,$C12,P$11:P$10003)</f>
        <v>0</v>
      </c>
      <c r="Q6" s="12"/>
      <c r="R6" s="13">
        <f>SUMIF($C$11:$C$10003,$C12,R$11:R$10003)</f>
        <v>0</v>
      </c>
      <c r="S6" s="12"/>
      <c r="T6" s="13">
        <f>SUMIF($C$11:$C$10003,$C12,T$11:T$10003)</f>
        <v>0</v>
      </c>
    </row>
    <row r="7" spans="1:21" ht="18" customHeight="1" x14ac:dyDescent="0.25">
      <c r="A7" s="29"/>
      <c r="B7" s="29"/>
      <c r="C7" s="2"/>
      <c r="D7" s="59"/>
      <c r="E7" s="12"/>
      <c r="F7" s="59"/>
      <c r="G7" s="12"/>
      <c r="H7" s="59"/>
      <c r="I7" s="12"/>
      <c r="J7" s="59"/>
      <c r="K7" s="12"/>
      <c r="L7" s="59"/>
      <c r="M7" s="12"/>
      <c r="N7" s="59"/>
      <c r="O7" s="12"/>
      <c r="P7" s="59"/>
      <c r="Q7" s="12"/>
      <c r="R7" s="59"/>
      <c r="S7" s="12"/>
      <c r="T7" s="59"/>
    </row>
    <row r="8" spans="1:21" ht="15" customHeight="1" thickBot="1" x14ac:dyDescent="0.3">
      <c r="A8" s="1"/>
      <c r="B8" s="1"/>
      <c r="C8" s="60" t="s">
        <v>32</v>
      </c>
      <c r="D8" s="57">
        <f>WEEKNUM(D4,1)</f>
        <v>6</v>
      </c>
      <c r="E8" s="57">
        <f t="shared" ref="E8:T8" si="0">WEEKNUM(E4,1)</f>
        <v>0</v>
      </c>
      <c r="F8" s="57">
        <f t="shared" si="0"/>
        <v>7</v>
      </c>
      <c r="G8" s="57">
        <f t="shared" si="0"/>
        <v>0</v>
      </c>
      <c r="H8" s="57">
        <f t="shared" si="0"/>
        <v>8</v>
      </c>
      <c r="I8" s="57">
        <f t="shared" si="0"/>
        <v>0</v>
      </c>
      <c r="J8" s="57">
        <f t="shared" si="0"/>
        <v>9</v>
      </c>
      <c r="K8" s="57">
        <f t="shared" si="0"/>
        <v>0</v>
      </c>
      <c r="L8" s="57">
        <f t="shared" si="0"/>
        <v>10</v>
      </c>
      <c r="M8" s="57">
        <f t="shared" si="0"/>
        <v>0</v>
      </c>
      <c r="N8" s="57">
        <f t="shared" si="0"/>
        <v>11</v>
      </c>
      <c r="O8" s="57">
        <f t="shared" si="0"/>
        <v>0</v>
      </c>
      <c r="P8" s="57">
        <f t="shared" si="0"/>
        <v>12</v>
      </c>
      <c r="Q8" s="57">
        <f t="shared" si="0"/>
        <v>0</v>
      </c>
      <c r="R8" s="57">
        <f t="shared" si="0"/>
        <v>13</v>
      </c>
      <c r="S8" s="57">
        <f t="shared" si="0"/>
        <v>0</v>
      </c>
      <c r="T8" s="57">
        <f t="shared" si="0"/>
        <v>14</v>
      </c>
    </row>
    <row r="9" spans="1:21" ht="20.25" customHeight="1" x14ac:dyDescent="0.25">
      <c r="A9" s="216" t="str">
        <f>Base!F3</f>
        <v>1 Analyse</v>
      </c>
      <c r="B9" s="217"/>
      <c r="C9" s="217"/>
      <c r="D9" s="217"/>
      <c r="E9" s="217"/>
      <c r="F9" s="217"/>
      <c r="G9" s="217"/>
      <c r="H9" s="217"/>
      <c r="I9" s="217"/>
      <c r="J9" s="217"/>
      <c r="K9" s="217"/>
      <c r="L9" s="217"/>
      <c r="M9" s="217"/>
      <c r="N9" s="217"/>
      <c r="O9" s="217"/>
      <c r="P9" s="217"/>
      <c r="Q9" s="217"/>
      <c r="R9" s="217"/>
      <c r="S9" s="217"/>
      <c r="T9" s="218"/>
      <c r="U9" s="16">
        <f>SUMIF($C11:$C22,$C11,U11:U22)</f>
        <v>0.2638888888888889</v>
      </c>
    </row>
    <row r="10" spans="1:21" ht="15" customHeight="1" thickBot="1" x14ac:dyDescent="0.3">
      <c r="A10" s="219"/>
      <c r="B10" s="220"/>
      <c r="C10" s="220"/>
      <c r="D10" s="220"/>
      <c r="E10" s="220"/>
      <c r="F10" s="220"/>
      <c r="G10" s="220"/>
      <c r="H10" s="220"/>
      <c r="I10" s="220"/>
      <c r="J10" s="220"/>
      <c r="K10" s="220"/>
      <c r="L10" s="220"/>
      <c r="M10" s="220"/>
      <c r="N10" s="220"/>
      <c r="O10" s="220"/>
      <c r="P10" s="220"/>
      <c r="Q10" s="220"/>
      <c r="R10" s="220"/>
      <c r="S10" s="220"/>
      <c r="T10" s="221"/>
      <c r="U10" s="17">
        <f>SUMIF($C11:$C22,$C12,U11:U22)</f>
        <v>0.16666666666666666</v>
      </c>
    </row>
    <row r="11" spans="1:21" ht="15" customHeight="1" x14ac:dyDescent="0.25">
      <c r="A11" s="37"/>
      <c r="B11" s="211" t="str">
        <f>Base!G3</f>
        <v>11 Analyse préliminaire</v>
      </c>
      <c r="C11" s="18" t="str">
        <f>A$5</f>
        <v>Prévu</v>
      </c>
      <c r="D11" s="32">
        <v>4.1666666666666664E-2</v>
      </c>
      <c r="E11" s="33"/>
      <c r="F11" s="36"/>
      <c r="G11" s="33"/>
      <c r="H11" s="32"/>
      <c r="I11" s="34"/>
      <c r="J11" s="35"/>
      <c r="K11" s="34"/>
      <c r="L11" s="36"/>
      <c r="M11" s="33"/>
      <c r="N11" s="35"/>
      <c r="O11" s="33"/>
      <c r="P11" s="36"/>
      <c r="Q11" s="33"/>
      <c r="R11" s="36"/>
      <c r="S11" s="33"/>
      <c r="T11" s="36"/>
      <c r="U11" s="19">
        <f t="shared" ref="U11:U22" si="1">IF(SUM(D11:T11)=0,"",SUM(D11:T11))</f>
        <v>4.1666666666666664E-2</v>
      </c>
    </row>
    <row r="12" spans="1:21" ht="15" customHeight="1" thickBot="1" x14ac:dyDescent="0.3">
      <c r="A12" s="37"/>
      <c r="B12" s="212"/>
      <c r="C12" s="20" t="str">
        <f>A$6</f>
        <v>Réalisé</v>
      </c>
      <c r="D12" s="21">
        <f>SUMIFS(Journal!$F$4:$F$9284,Journal!$C$4:$C$9284,D$8,Journal!$D$4:$D$9284,$B11)</f>
        <v>4.1666666666666664E-2</v>
      </c>
      <c r="E12" s="22"/>
      <c r="F12" s="21"/>
      <c r="G12" s="22"/>
      <c r="H12" s="21">
        <f>SUMIFS(Journal!$F$4:$F$9284,Journal!$C$4:$C$9284,H$8,Journal!$D$4:$D$9284,$B11)</f>
        <v>0</v>
      </c>
      <c r="I12" s="23"/>
      <c r="J12" s="21">
        <f>SUMIFS(Journal!$F$4:$F$9284,Journal!$C$4:$C$9284,J$8,Journal!$D$4:$D$9284,$B11)</f>
        <v>0</v>
      </c>
      <c r="K12" s="23"/>
      <c r="L12" s="21">
        <f>SUMIFS(Journal!$F$4:$F$9284,Journal!$C$4:$C$9284,L$8,Journal!$D$4:$D$9284,$B11)</f>
        <v>0</v>
      </c>
      <c r="M12" s="22"/>
      <c r="N12" s="21">
        <f>SUMIFS(Journal!$F$4:$F$9284,Journal!$C$4:$C$9284,N$8,Journal!$D$4:$D$9284,$B11)</f>
        <v>0</v>
      </c>
      <c r="O12" s="22"/>
      <c r="P12" s="21">
        <f>SUMIFS(Journal!$F$4:$F$9284,Journal!$C$4:$C$9284,P$8,Journal!$D$4:$D$9284,$B11)</f>
        <v>0</v>
      </c>
      <c r="Q12" s="22"/>
      <c r="R12" s="21">
        <f>SUMIFS(Journal!$F$4:$F$9284,Journal!$C$4:$C$9284,R$8,Journal!$D$4:$D$9284,$B11)</f>
        <v>0</v>
      </c>
      <c r="S12" s="22"/>
      <c r="T12" s="21">
        <f>SUMIFS(Journal!$F$4:$F$9284,Journal!$C$4:$C$9284,T$8,Journal!$D$4:$D$9284,$B11)</f>
        <v>0</v>
      </c>
      <c r="U12" s="24">
        <f t="shared" si="1"/>
        <v>4.1666666666666664E-2</v>
      </c>
    </row>
    <row r="13" spans="1:21" ht="15" customHeight="1" x14ac:dyDescent="0.25">
      <c r="A13" s="37"/>
      <c r="B13" s="213" t="str">
        <f>Base!G4</f>
        <v>12 Planification initiale</v>
      </c>
      <c r="C13" s="18" t="str">
        <f>A$5</f>
        <v>Prévu</v>
      </c>
      <c r="D13" s="32">
        <v>6.25E-2</v>
      </c>
      <c r="E13" s="33"/>
      <c r="F13" s="36"/>
      <c r="G13" s="33"/>
      <c r="H13" s="32"/>
      <c r="I13" s="34"/>
      <c r="J13" s="32"/>
      <c r="K13" s="34"/>
      <c r="L13" s="36"/>
      <c r="M13" s="33"/>
      <c r="N13" s="35"/>
      <c r="O13" s="33"/>
      <c r="P13" s="36"/>
      <c r="Q13" s="33"/>
      <c r="R13" s="36"/>
      <c r="S13" s="33"/>
      <c r="T13" s="36"/>
      <c r="U13" s="19">
        <f t="shared" si="1"/>
        <v>6.25E-2</v>
      </c>
    </row>
    <row r="14" spans="1:21" ht="15" customHeight="1" thickBot="1" x14ac:dyDescent="0.3">
      <c r="A14" s="37"/>
      <c r="B14" s="212"/>
      <c r="C14" s="20" t="str">
        <f>A$6</f>
        <v>Réalisé</v>
      </c>
      <c r="D14" s="21">
        <f>SUMIFS(Journal!$F$4:$F$9284,Journal!$C$4:$C$9284,D$8,Journal!$D$4:$D$9284,$B13)</f>
        <v>6.25E-2</v>
      </c>
      <c r="E14" s="22"/>
      <c r="F14" s="21">
        <f>SUMIFS(Journal!$F$4:$F$9284,Journal!$C$4:$C$9284,F$8,Journal!$D$4:$D$9284,$B13)</f>
        <v>0</v>
      </c>
      <c r="G14" s="22"/>
      <c r="H14" s="21">
        <f>SUMIFS(Journal!$F$4:$F$9284,Journal!$C$4:$C$9284,H$8,Journal!$D$4:$D$9284,$B13)</f>
        <v>0</v>
      </c>
      <c r="I14" s="23"/>
      <c r="J14" s="21">
        <f>SUMIFS(Journal!$F$4:$F$9284,Journal!$C$4:$C$9284,J$8,Journal!$D$4:$D$9284,$B13)</f>
        <v>0</v>
      </c>
      <c r="K14" s="23"/>
      <c r="L14" s="21">
        <f>SUMIFS(Journal!$F$4:$F$9284,Journal!$C$4:$C$9284,L$8,Journal!$D$4:$D$9284,$B13)</f>
        <v>0</v>
      </c>
      <c r="M14" s="22"/>
      <c r="N14" s="21">
        <f>SUMIFS(Journal!$F$4:$F$9284,Journal!$C$4:$C$9284,N$8,Journal!$D$4:$D$9284,$B13)</f>
        <v>0</v>
      </c>
      <c r="O14" s="22"/>
      <c r="P14" s="21">
        <f>SUMIFS(Journal!$F$4:$F$9284,Journal!$C$4:$C$9284,P$8,Journal!$D$4:$D$9284,$B13)</f>
        <v>0</v>
      </c>
      <c r="Q14" s="22"/>
      <c r="R14" s="21">
        <f>SUMIFS(Journal!$F$4:$F$9284,Journal!$C$4:$C$9284,R$8,Journal!$D$4:$D$9284,$B13)</f>
        <v>0</v>
      </c>
      <c r="S14" s="22"/>
      <c r="T14" s="21">
        <f>SUMIFS(Journal!$F$4:$F$9284,Journal!$C$4:$C$9284,T$8,Journal!$D$4:$D$9284,$B13)</f>
        <v>0</v>
      </c>
      <c r="U14" s="24">
        <f t="shared" si="1"/>
        <v>6.25E-2</v>
      </c>
    </row>
    <row r="15" spans="1:21" ht="15" customHeight="1" x14ac:dyDescent="0.25">
      <c r="A15" s="37"/>
      <c r="B15" s="213" t="str">
        <f>Base!G5</f>
        <v>13 Objectifs du projet</v>
      </c>
      <c r="C15" s="18" t="str">
        <f>A$5</f>
        <v>Prévu</v>
      </c>
      <c r="D15" s="32">
        <v>1.3888888888888888E-2</v>
      </c>
      <c r="E15" s="33"/>
      <c r="F15" s="36"/>
      <c r="G15" s="33"/>
      <c r="H15" s="32"/>
      <c r="I15" s="34"/>
      <c r="J15" s="35"/>
      <c r="K15" s="34"/>
      <c r="L15" s="36"/>
      <c r="M15" s="33"/>
      <c r="N15" s="35"/>
      <c r="O15" s="33"/>
      <c r="P15" s="36"/>
      <c r="Q15" s="33"/>
      <c r="S15" s="33"/>
      <c r="T15" s="36"/>
      <c r="U15" s="19">
        <f t="shared" si="1"/>
        <v>1.3888888888888888E-2</v>
      </c>
    </row>
    <row r="16" spans="1:21" ht="15" customHeight="1" thickBot="1" x14ac:dyDescent="0.3">
      <c r="A16" s="37"/>
      <c r="B16" s="212"/>
      <c r="C16" s="20" t="str">
        <f>A$6</f>
        <v>Réalisé</v>
      </c>
      <c r="D16" s="21">
        <f>SUMIFS(Journal!$F$4:$F$9284,Journal!$C$4:$C$9284,D$8,Journal!$D$4:$D$9284,$B15)</f>
        <v>2.0833333333333332E-2</v>
      </c>
      <c r="E16" s="22"/>
      <c r="F16" s="21">
        <f>SUMIFS(Journal!$F$4:$F$9284,Journal!$C$4:$C$9284,F$8,Journal!$D$4:$D$9284,$B15)</f>
        <v>0</v>
      </c>
      <c r="G16" s="22"/>
      <c r="H16" s="21">
        <f>SUMIFS(Journal!$F$4:$F$9284,Journal!$C$4:$C$9284,H$8,Journal!$D$4:$D$9284,$B15)</f>
        <v>0</v>
      </c>
      <c r="I16" s="23"/>
      <c r="J16" s="21">
        <f>SUMIFS(Journal!$F$4:$F$9284,Journal!$C$4:$C$9284,J$8,Journal!$D$4:$D$9284,$B15)</f>
        <v>0</v>
      </c>
      <c r="K16" s="23"/>
      <c r="L16" s="21">
        <f>SUMIFS(Journal!$F$4:$F$9284,Journal!$C$4:$C$9284,L$8,Journal!$D$4:$D$9284,$B15)</f>
        <v>0</v>
      </c>
      <c r="M16" s="22"/>
      <c r="N16" s="21">
        <f>SUMIFS(Journal!$F$4:$F$9284,Journal!$C$4:$C$9284,N$8,Journal!$D$4:$D$9284,$B15)</f>
        <v>0</v>
      </c>
      <c r="O16" s="22"/>
      <c r="P16" s="21">
        <f>SUMIFS(Journal!$F$4:$F$9284,Journal!$C$4:$C$9284,P$8,Journal!$D$4:$D$9284,$B15)</f>
        <v>0</v>
      </c>
      <c r="Q16" s="22"/>
      <c r="R16" s="21">
        <f>SUMIFS(Journal!$F$4:$F$9284,Journal!$C$4:$C$9284,R$8,Journal!$D$4:$D$9284,$B15)</f>
        <v>0</v>
      </c>
      <c r="S16" s="22"/>
      <c r="T16" s="21">
        <f>SUMIFS(Journal!$F$4:$F$9284,Journal!$C$4:$C$9284,T$8,Journal!$D$4:$D$9284,$B15)</f>
        <v>0</v>
      </c>
      <c r="U16" s="24">
        <f t="shared" si="1"/>
        <v>2.0833333333333332E-2</v>
      </c>
    </row>
    <row r="17" spans="1:21" ht="15" customHeight="1" x14ac:dyDescent="0.25">
      <c r="A17" s="37"/>
      <c r="B17" s="213" t="str">
        <f>Base!G6</f>
        <v>14 Stratégie de tests</v>
      </c>
      <c r="C17" s="18" t="str">
        <f>A$5</f>
        <v>Prévu</v>
      </c>
      <c r="D17" s="35">
        <v>6.25E-2</v>
      </c>
      <c r="E17" s="33"/>
      <c r="F17" s="32"/>
      <c r="G17" s="34"/>
      <c r="H17" s="35"/>
      <c r="I17" s="34"/>
      <c r="J17" s="36"/>
      <c r="K17" s="33"/>
      <c r="L17" s="32"/>
      <c r="M17" s="33"/>
      <c r="N17" s="32"/>
      <c r="O17" s="33"/>
      <c r="P17" s="32"/>
      <c r="Q17" s="33"/>
      <c r="R17" s="32"/>
      <c r="S17" s="33"/>
      <c r="T17" s="32"/>
      <c r="U17" s="19">
        <f t="shared" si="1"/>
        <v>6.25E-2</v>
      </c>
    </row>
    <row r="18" spans="1:21" ht="15" customHeight="1" thickBot="1" x14ac:dyDescent="0.3">
      <c r="A18" s="37"/>
      <c r="B18" s="212"/>
      <c r="C18" s="20" t="str">
        <f>A$6</f>
        <v>Réalisé</v>
      </c>
      <c r="D18" s="21">
        <f>SUMIFS(Journal!$F$4:$F$9284,Journal!$C$4:$C$9284,D$8,Journal!$D$4:$D$9284,$B17)</f>
        <v>2.0833333333333332E-2</v>
      </c>
      <c r="E18" s="22"/>
      <c r="F18" s="21">
        <f>SUMIFS(Journal!$F$4:$F$9284,Journal!$C$4:$C$9284,F$8,Journal!$D$4:$D$9284,$B17)</f>
        <v>0</v>
      </c>
      <c r="G18" s="23"/>
      <c r="H18" s="21">
        <f>SUMIFS(Journal!$F$4:$F$9284,Journal!$C$4:$C$9284,H$8,Journal!$D$4:$D$9284,$B17)</f>
        <v>0</v>
      </c>
      <c r="I18" s="23"/>
      <c r="J18" s="21">
        <f>SUMIFS(Journal!$F$4:$F$9284,Journal!$C$4:$C$9284,J$8,Journal!$D$4:$D$9284,$B17)</f>
        <v>0</v>
      </c>
      <c r="K18" s="22"/>
      <c r="L18" s="21">
        <f>SUMIFS(Journal!$F$4:$F$9284,Journal!$C$4:$C$9284,L$8,Journal!$D$4:$D$9284,$B17)</f>
        <v>0</v>
      </c>
      <c r="M18" s="22"/>
      <c r="N18" s="21">
        <f>SUMIFS(Journal!$F$4:$F$9284,Journal!$C$4:$C$9284,N$8,Journal!$D$4:$D$9284,$B17)</f>
        <v>0</v>
      </c>
      <c r="O18" s="22"/>
      <c r="P18" s="21">
        <f>SUMIFS(Journal!$F$4:$F$9284,Journal!$C$4:$C$9284,P$8,Journal!$D$4:$D$9284,$B17)</f>
        <v>0</v>
      </c>
      <c r="Q18" s="22"/>
      <c r="R18" s="21">
        <f>SUMIFS(Journal!$F$4:$F$9284,Journal!$C$4:$C$9284,R$8,Journal!$D$4:$D$9284,$B17)</f>
        <v>0</v>
      </c>
      <c r="S18" s="22"/>
      <c r="T18" s="21">
        <f>SUMIFS(Journal!$F$4:$F$9284,Journal!$C$4:$C$9284,T$8,Journal!$D$4:$D$9284,$B17)</f>
        <v>0</v>
      </c>
      <c r="U18" s="24">
        <f t="shared" si="1"/>
        <v>2.0833333333333332E-2</v>
      </c>
    </row>
    <row r="19" spans="1:21" ht="15" customHeight="1" x14ac:dyDescent="0.25">
      <c r="A19" s="37"/>
      <c r="B19" s="213" t="str">
        <f>Base!G7</f>
        <v>15 Risques techniques</v>
      </c>
      <c r="C19" s="18" t="str">
        <f>A$5</f>
        <v>Prévu</v>
      </c>
      <c r="D19" s="32"/>
      <c r="E19" s="33"/>
      <c r="F19" s="32"/>
      <c r="G19" s="34"/>
      <c r="H19" s="32"/>
      <c r="I19" s="34"/>
      <c r="J19" s="36"/>
      <c r="K19" s="33"/>
      <c r="L19" s="36"/>
      <c r="M19" s="33"/>
      <c r="N19" s="35"/>
      <c r="O19" s="33"/>
      <c r="P19" s="36"/>
      <c r="Q19" s="33"/>
      <c r="R19" s="32"/>
      <c r="S19" s="33"/>
      <c r="T19" s="32">
        <v>4.1666666666666664E-2</v>
      </c>
      <c r="U19" s="19">
        <f t="shared" si="1"/>
        <v>4.1666666666666664E-2</v>
      </c>
    </row>
    <row r="20" spans="1:21" ht="15" customHeight="1" thickBot="1" x14ac:dyDescent="0.3">
      <c r="A20" s="37"/>
      <c r="B20" s="212"/>
      <c r="C20" s="20" t="str">
        <f>A$6</f>
        <v>Réalisé</v>
      </c>
      <c r="D20" s="21">
        <f>SUMIFS(Journal!$F$4:$F$9284,Journal!$C$4:$C$9284,D$8,Journal!$D$4:$D$9284,$B19)</f>
        <v>2.0833333333333332E-2</v>
      </c>
      <c r="E20" s="22"/>
      <c r="F20" s="21">
        <f>SUMIFS(Journal!$F$4:$F$9284,Journal!$C$4:$C$9284,F$8,Journal!$D$4:$D$9284,$B19)</f>
        <v>0</v>
      </c>
      <c r="G20" s="23"/>
      <c r="H20" s="21">
        <f>SUMIFS(Journal!$F$4:$F$9284,Journal!$C$4:$C$9284,H$8,Journal!$D$4:$D$9284,$B19)</f>
        <v>0</v>
      </c>
      <c r="I20" s="23"/>
      <c r="J20" s="21">
        <f>SUMIFS(Journal!$F$4:$F$9284,Journal!$C$4:$C$9284,J$8,Journal!$D$4:$D$9284,$B19)</f>
        <v>0</v>
      </c>
      <c r="K20" s="22"/>
      <c r="L20" s="21">
        <f>SUMIFS(Journal!$F$4:$F$9284,Journal!$C$4:$C$9284,L$8,Journal!$D$4:$D$9284,$B19)</f>
        <v>0</v>
      </c>
      <c r="M20" s="22"/>
      <c r="N20" s="21">
        <f>SUMIFS(Journal!$F$4:$F$9284,Journal!$C$4:$C$9284,N$8,Journal!$D$4:$D$9284,$B19)</f>
        <v>0</v>
      </c>
      <c r="O20" s="22"/>
      <c r="P20" s="21">
        <f>SUMIFS(Journal!$F$4:$F$9284,Journal!$C$4:$C$9284,P$8,Journal!$D$4:$D$9284,$B19)</f>
        <v>0</v>
      </c>
      <c r="Q20" s="22"/>
      <c r="R20" s="21">
        <f>SUMIFS(Journal!$F$4:$F$9284,Journal!$C$4:$C$9284,R$8,Journal!$D$4:$D$9284,$B19)</f>
        <v>0</v>
      </c>
      <c r="S20" s="22"/>
      <c r="T20" s="21">
        <f>SUMIFS(Journal!$F$4:$F$9284,Journal!$C$4:$C$9284,T$8,Journal!$D$4:$D$9284,$B19)</f>
        <v>0</v>
      </c>
      <c r="U20" s="24">
        <f t="shared" si="1"/>
        <v>2.0833333333333332E-2</v>
      </c>
    </row>
    <row r="21" spans="1:21" ht="15" customHeight="1" x14ac:dyDescent="0.25">
      <c r="A21" s="37"/>
      <c r="B21" s="213" t="str">
        <f>Base!G8</f>
        <v>16 Planification définitive</v>
      </c>
      <c r="C21" s="18" t="str">
        <f>A$5</f>
        <v>Prévu</v>
      </c>
      <c r="D21" s="35">
        <v>4.1666666666666664E-2</v>
      </c>
      <c r="E21" s="33"/>
      <c r="F21" s="32"/>
      <c r="G21" s="34"/>
      <c r="H21" s="35"/>
      <c r="I21" s="34"/>
      <c r="J21" s="36"/>
      <c r="K21" s="33"/>
      <c r="L21" s="32"/>
      <c r="M21" s="33"/>
      <c r="N21" s="32"/>
      <c r="O21" s="33"/>
      <c r="P21" s="32"/>
      <c r="Q21" s="33"/>
      <c r="R21" s="32"/>
      <c r="S21" s="33"/>
      <c r="T21" s="32"/>
      <c r="U21" s="19">
        <f t="shared" si="1"/>
        <v>4.1666666666666664E-2</v>
      </c>
    </row>
    <row r="22" spans="1:21" ht="15" customHeight="1" thickBot="1" x14ac:dyDescent="0.3">
      <c r="A22" s="37"/>
      <c r="B22" s="214"/>
      <c r="C22" s="20" t="str">
        <f>A$6</f>
        <v>Réalisé</v>
      </c>
      <c r="D22" s="21">
        <f>SUMIFS(Journal!$F$4:$F$9284,Journal!$C$4:$C$9284,D$8,Journal!$D$4:$D$9284,$B21)</f>
        <v>0</v>
      </c>
      <c r="E22" s="22"/>
      <c r="F22" s="21">
        <f>SUMIFS(Journal!$F$4:$F$9284,Journal!$C$4:$C$9284,F$8,Journal!$D$4:$D$9284,$B21)</f>
        <v>0</v>
      </c>
      <c r="G22" s="23"/>
      <c r="H22" s="21">
        <f>SUMIFS(Journal!$F$4:$F$9284,Journal!$C$4:$C$9284,H$8,Journal!$D$4:$D$9284,$B21)</f>
        <v>0</v>
      </c>
      <c r="I22" s="23"/>
      <c r="J22" s="21">
        <f>SUMIFS(Journal!$F$4:$F$9284,Journal!$C$4:$C$9284,J$8,Journal!$D$4:$D$9284,$B21)</f>
        <v>0</v>
      </c>
      <c r="K22" s="22"/>
      <c r="L22" s="21">
        <f>SUMIFS(Journal!$F$4:$F$9284,Journal!$C$4:$C$9284,L$8,Journal!$D$4:$D$9284,$B21)</f>
        <v>0</v>
      </c>
      <c r="M22" s="22"/>
      <c r="N22" s="21">
        <f>SUMIFS(Journal!$F$4:$F$9284,Journal!$C$4:$C$9284,N$8,Journal!$D$4:$D$9284,$B21)</f>
        <v>0</v>
      </c>
      <c r="O22" s="22"/>
      <c r="P22" s="21">
        <f>SUMIFS(Journal!$F$4:$F$9284,Journal!$C$4:$C$9284,P$8,Journal!$D$4:$D$9284,$B21)</f>
        <v>0</v>
      </c>
      <c r="Q22" s="22"/>
      <c r="R22" s="21">
        <f>SUMIFS(Journal!$F$4:$F$9284,Journal!$C$4:$C$9284,R$8,Journal!$D$4:$D$9284,$B21)</f>
        <v>0</v>
      </c>
      <c r="S22" s="22"/>
      <c r="T22" s="21">
        <f>SUMIFS(Journal!$F$4:$F$9284,Journal!$C$4:$C$9284,T$8,Journal!$D$4:$D$9284,$B21)</f>
        <v>0</v>
      </c>
      <c r="U22" s="24" t="str">
        <f t="shared" si="1"/>
        <v/>
      </c>
    </row>
    <row r="23" spans="1:21" ht="15" customHeight="1" x14ac:dyDescent="0.25">
      <c r="A23" s="222" t="str">
        <f>Base!F9</f>
        <v>2 Conception</v>
      </c>
      <c r="B23" s="223"/>
      <c r="C23" s="223"/>
      <c r="D23" s="223"/>
      <c r="E23" s="223"/>
      <c r="F23" s="223"/>
      <c r="G23" s="223"/>
      <c r="H23" s="223"/>
      <c r="I23" s="223"/>
      <c r="J23" s="223"/>
      <c r="K23" s="223"/>
      <c r="L23" s="223"/>
      <c r="M23" s="223"/>
      <c r="N23" s="223"/>
      <c r="O23" s="223"/>
      <c r="P23" s="223"/>
      <c r="Q23" s="223"/>
      <c r="R23" s="223"/>
      <c r="S23" s="223"/>
      <c r="T23" s="223"/>
      <c r="U23" s="16">
        <f>SUMIF($C25:$C36,$C25,U25:U36)</f>
        <v>0.25</v>
      </c>
    </row>
    <row r="24" spans="1:21" ht="15" customHeight="1" thickBot="1" x14ac:dyDescent="0.3">
      <c r="A24" s="224"/>
      <c r="B24" s="225"/>
      <c r="C24" s="225"/>
      <c r="D24" s="225"/>
      <c r="E24" s="225"/>
      <c r="F24" s="225"/>
      <c r="G24" s="225"/>
      <c r="H24" s="225"/>
      <c r="I24" s="225"/>
      <c r="J24" s="225"/>
      <c r="K24" s="225"/>
      <c r="L24" s="225"/>
      <c r="M24" s="225"/>
      <c r="N24" s="225"/>
      <c r="O24" s="225"/>
      <c r="P24" s="225"/>
      <c r="Q24" s="225"/>
      <c r="R24" s="225"/>
      <c r="S24" s="225"/>
      <c r="T24" s="225"/>
      <c r="U24" s="17">
        <f>SUMIF($C25:$C36,$C26,U25:U36)</f>
        <v>0.2638888888888889</v>
      </c>
    </row>
    <row r="25" spans="1:21" ht="15" customHeight="1" x14ac:dyDescent="0.25">
      <c r="A25" s="37"/>
      <c r="B25" s="211" t="str">
        <f>Base!G9</f>
        <v>21 Base de données (MCD, MLD)</v>
      </c>
      <c r="C25" s="18" t="str">
        <f>A$5</f>
        <v>Prévu</v>
      </c>
      <c r="D25" s="32"/>
      <c r="E25" s="32"/>
      <c r="F25" s="32">
        <v>8.3333333333333329E-2</v>
      </c>
      <c r="G25" s="32"/>
      <c r="H25" s="32"/>
      <c r="I25" s="32"/>
      <c r="J25" s="32"/>
      <c r="K25" s="32"/>
      <c r="L25" s="32"/>
      <c r="M25" s="32"/>
      <c r="N25" s="32"/>
      <c r="O25" s="32"/>
      <c r="P25" s="32"/>
      <c r="Q25" s="32"/>
      <c r="R25" s="32"/>
      <c r="S25" s="32"/>
      <c r="T25" s="32"/>
      <c r="U25" s="65">
        <f>IF(SUM(D25:T25)=0,"",SUM(D25:T25))</f>
        <v>8.3333333333333329E-2</v>
      </c>
    </row>
    <row r="26" spans="1:21" ht="15" customHeight="1" thickBot="1" x14ac:dyDescent="0.3">
      <c r="A26" s="37"/>
      <c r="B26" s="212"/>
      <c r="C26" s="20" t="str">
        <f>A$6</f>
        <v>Réalisé</v>
      </c>
      <c r="D26" s="21">
        <f>SUMIFS(Journal!$F$4:$F$9284,Journal!$C$4:$C$9284,D$8,Journal!$D$4:$D$9284,$B25)</f>
        <v>0</v>
      </c>
      <c r="E26" s="21">
        <f>SUMIFS(Journal!$F$4:$F$9284,Journal!$C$4:$C$9284,E$8,Journal!$D$4:$D$9284,$B25)</f>
        <v>0</v>
      </c>
      <c r="F26" s="21">
        <f>SUMIFS(Journal!$F$4:$F$9284,Journal!$C$4:$C$9284,F$8,Journal!$D$4:$D$9284,$B25)</f>
        <v>0.10416666666666666</v>
      </c>
      <c r="G26" s="21">
        <f>SUMIFS(Journal!$F$4:$F$9284,Journal!$C$4:$C$9284,G$8,Journal!$D$4:$D$9284,$B25)</f>
        <v>0</v>
      </c>
      <c r="H26" s="21">
        <f>SUMIFS(Journal!$F$4:$F$9284,Journal!$C$4:$C$9284,H$8,Journal!$D$4:$D$9284,$B25)</f>
        <v>0</v>
      </c>
      <c r="I26" s="21">
        <f>SUMIFS(Journal!$F$4:$F$9284,Journal!$C$4:$C$9284,I$8,Journal!$D$4:$D$9284,$B25)</f>
        <v>0</v>
      </c>
      <c r="J26" s="21">
        <f>SUMIFS(Journal!$F$4:$F$9284,Journal!$C$4:$C$9284,J$8,Journal!$D$4:$D$9284,$B25)</f>
        <v>0</v>
      </c>
      <c r="K26" s="21">
        <f>SUMIFS(Journal!$F$4:$F$9284,Journal!$C$4:$C$9284,K$8,Journal!$D$4:$D$9284,$B25)</f>
        <v>0</v>
      </c>
      <c r="L26" s="21">
        <f>SUMIFS(Journal!$F$4:$F$9284,Journal!$C$4:$C$9284,L$8,Journal!$D$4:$D$9284,$B25)</f>
        <v>0</v>
      </c>
      <c r="M26" s="21">
        <f>SUMIFS(Journal!$F$4:$F$9284,Journal!$C$4:$C$9284,M$8,Journal!$D$4:$D$9284,$B25)</f>
        <v>0</v>
      </c>
      <c r="N26" s="21">
        <f>SUMIFS(Journal!$F$4:$F$9284,Journal!$C$4:$C$9284,N$8,Journal!$D$4:$D$9284,$B25)</f>
        <v>0</v>
      </c>
      <c r="O26" s="21">
        <f>SUMIFS(Journal!$F$4:$F$9284,Journal!$C$4:$C$9284,O$8,Journal!$D$4:$D$9284,$B25)</f>
        <v>0</v>
      </c>
      <c r="P26" s="21">
        <f>SUMIFS(Journal!$F$4:$F$9284,Journal!$C$4:$C$9284,P$8,Journal!$D$4:$D$9284,$B25)</f>
        <v>0</v>
      </c>
      <c r="Q26" s="21">
        <f>SUMIFS(Journal!$F$4:$F$9284,Journal!$C$4:$C$9284,Q$8,Journal!$D$4:$D$9284,$B25)</f>
        <v>0</v>
      </c>
      <c r="R26" s="21">
        <f>SUMIFS(Journal!$F$4:$F$9284,Journal!$C$4:$C$9284,R$8,Journal!$D$4:$D$9284,$B25)</f>
        <v>0</v>
      </c>
      <c r="S26" s="21">
        <f>SUMIFS(Journal!$F$4:$F$9284,Journal!$C$4:$C$9284,S$8,Journal!$D$4:$D$9284,$B25)</f>
        <v>0</v>
      </c>
      <c r="T26" s="21">
        <f>SUMIFS(Journal!$F$4:$F$9284,Journal!$C$4:$C$9284,T$8,Journal!$D$4:$D$9284,$B25)</f>
        <v>0</v>
      </c>
      <c r="U26" s="66">
        <f>IF(SUM(D26:T26)=0,"",SUM(D26:T26))</f>
        <v>0.10416666666666666</v>
      </c>
    </row>
    <row r="27" spans="1:21" ht="15" customHeight="1" x14ac:dyDescent="0.25">
      <c r="A27" s="37"/>
      <c r="B27" s="213" t="str">
        <f>Base!G10</f>
        <v>22 Maquettes</v>
      </c>
      <c r="C27" s="18" t="str">
        <f>A$5</f>
        <v>Prévu</v>
      </c>
      <c r="D27" s="32">
        <v>4.1666666666666664E-2</v>
      </c>
      <c r="E27" s="32"/>
      <c r="F27" s="32">
        <v>4.1666666666666664E-2</v>
      </c>
      <c r="G27" s="32"/>
      <c r="H27" s="32"/>
      <c r="I27" s="32"/>
      <c r="J27" s="32"/>
      <c r="K27" s="32"/>
      <c r="L27" s="32"/>
      <c r="M27" s="32"/>
      <c r="N27" s="32"/>
      <c r="O27" s="32"/>
      <c r="P27" s="32"/>
      <c r="Q27" s="32"/>
      <c r="R27" s="32"/>
      <c r="S27" s="32"/>
      <c r="T27" s="32"/>
      <c r="U27" s="65">
        <f t="shared" ref="U27:U36" si="2">IF(SUM(D27:T27)=0,"",SUM(D27:T27))</f>
        <v>8.3333333333333329E-2</v>
      </c>
    </row>
    <row r="28" spans="1:21" ht="15" customHeight="1" thickBot="1" x14ac:dyDescent="0.3">
      <c r="A28" s="37"/>
      <c r="B28" s="212"/>
      <c r="C28" s="20" t="str">
        <f>A$6</f>
        <v>Réalisé</v>
      </c>
      <c r="D28" s="21">
        <f>SUMIFS(Journal!$F$4:$F$9284,Journal!$C$4:$C$9284,D$8,Journal!$D$4:$D$9284,$B27)</f>
        <v>5.2083333333333336E-2</v>
      </c>
      <c r="E28" s="21">
        <f>SUMIFS(Journal!$F$4:$F$9284,Journal!$C$4:$C$9284,E$8,Journal!$D$4:$D$9284,$B27)</f>
        <v>0</v>
      </c>
      <c r="F28" s="21">
        <f>SUMIFS(Journal!$F$4:$F$9284,Journal!$C$4:$C$9284,F$8,Journal!$D$4:$D$9284,$B27)</f>
        <v>3.125E-2</v>
      </c>
      <c r="G28" s="21">
        <f>SUMIFS(Journal!$F$4:$F$9284,Journal!$C$4:$C$9284,G$8,Journal!$D$4:$D$9284,$B27)</f>
        <v>0</v>
      </c>
      <c r="H28" s="21">
        <f>SUMIFS(Journal!$F$4:$F$9284,Journal!$C$4:$C$9284,H$8,Journal!$D$4:$D$9284,$B27)</f>
        <v>0</v>
      </c>
      <c r="I28" s="21">
        <f>SUMIFS(Journal!$F$4:$F$9284,Journal!$C$4:$C$9284,I$8,Journal!$D$4:$D$9284,$B27)</f>
        <v>0</v>
      </c>
      <c r="J28" s="21">
        <f>SUMIFS(Journal!$F$4:$F$9284,Journal!$C$4:$C$9284,J$8,Journal!$D$4:$D$9284,$B27)</f>
        <v>0</v>
      </c>
      <c r="K28" s="21">
        <f>SUMIFS(Journal!$F$4:$F$9284,Journal!$C$4:$C$9284,K$8,Journal!$D$4:$D$9284,$B27)</f>
        <v>0</v>
      </c>
      <c r="L28" s="21">
        <f>SUMIFS(Journal!$F$4:$F$9284,Journal!$C$4:$C$9284,L$8,Journal!$D$4:$D$9284,$B27)</f>
        <v>0</v>
      </c>
      <c r="M28" s="21">
        <f>SUMIFS(Journal!$F$4:$F$9284,Journal!$C$4:$C$9284,M$8,Journal!$D$4:$D$9284,$B27)</f>
        <v>0</v>
      </c>
      <c r="N28" s="21">
        <f>SUMIFS(Journal!$F$4:$F$9284,Journal!$C$4:$C$9284,N$8,Journal!$D$4:$D$9284,$B27)</f>
        <v>0</v>
      </c>
      <c r="O28" s="21">
        <f>SUMIFS(Journal!$F$4:$F$9284,Journal!$C$4:$C$9284,O$8,Journal!$D$4:$D$9284,$B27)</f>
        <v>0</v>
      </c>
      <c r="P28" s="21">
        <f>SUMIFS(Journal!$F$4:$F$9284,Journal!$C$4:$C$9284,P$8,Journal!$D$4:$D$9284,$B27)</f>
        <v>0</v>
      </c>
      <c r="Q28" s="21">
        <f>SUMIFS(Journal!$F$4:$F$9284,Journal!$C$4:$C$9284,Q$8,Journal!$D$4:$D$9284,$B27)</f>
        <v>0</v>
      </c>
      <c r="R28" s="21">
        <f>SUMIFS(Journal!$F$4:$F$9284,Journal!$C$4:$C$9284,R$8,Journal!$D$4:$D$9284,$B27)</f>
        <v>0</v>
      </c>
      <c r="S28" s="21">
        <f>SUMIFS(Journal!$F$4:$F$9284,Journal!$C$4:$C$9284,S$8,Journal!$D$4:$D$9284,$B27)</f>
        <v>0</v>
      </c>
      <c r="T28" s="21">
        <f>SUMIFS(Journal!$F$4:$F$9284,Journal!$C$4:$C$9284,T$8,Journal!$D$4:$D$9284,$B27)</f>
        <v>0</v>
      </c>
      <c r="U28" s="66">
        <f t="shared" si="2"/>
        <v>8.3333333333333343E-2</v>
      </c>
    </row>
    <row r="29" spans="1:21" ht="15" customHeight="1" x14ac:dyDescent="0.25">
      <c r="A29" s="37"/>
      <c r="B29" s="213" t="str">
        <f>Base!G11</f>
        <v>23 Diagrammes</v>
      </c>
      <c r="C29" s="18" t="str">
        <f>A$5</f>
        <v>Prévu</v>
      </c>
      <c r="D29" s="32">
        <v>4.1666666666666664E-2</v>
      </c>
      <c r="E29" s="32"/>
      <c r="F29" s="32">
        <v>4.1666666666666664E-2</v>
      </c>
      <c r="G29" s="32"/>
      <c r="H29" s="32"/>
      <c r="I29" s="32"/>
      <c r="J29" s="32"/>
      <c r="K29" s="32"/>
      <c r="L29" s="32"/>
      <c r="M29" s="32"/>
      <c r="N29" s="32"/>
      <c r="O29" s="32"/>
      <c r="P29" s="32"/>
      <c r="Q29" s="32"/>
      <c r="R29" s="32"/>
      <c r="S29" s="32"/>
      <c r="T29" s="32"/>
      <c r="U29" s="65">
        <f t="shared" si="2"/>
        <v>8.3333333333333329E-2</v>
      </c>
    </row>
    <row r="30" spans="1:21" ht="15" customHeight="1" thickBot="1" x14ac:dyDescent="0.3">
      <c r="A30" s="37"/>
      <c r="B30" s="212"/>
      <c r="C30" s="20" t="str">
        <f>A$6</f>
        <v>Réalisé</v>
      </c>
      <c r="D30" s="21">
        <f>SUMIFS(Journal!$F$4:$F$9284,Journal!$C$4:$C$9284,D$8,Journal!$D$4:$D$9284,$B29)</f>
        <v>0</v>
      </c>
      <c r="E30" s="21">
        <f>SUMIFS(Journal!$F$4:$F$9284,Journal!$C$4:$C$9284,E$8,Journal!$D$4:$D$9284,$B29)</f>
        <v>0</v>
      </c>
      <c r="F30" s="21">
        <f>SUMIFS(Journal!$F$4:$F$9284,Journal!$C$4:$C$9284,F$8,Journal!$D$4:$D$9284,$B29)</f>
        <v>6.25E-2</v>
      </c>
      <c r="G30" s="21">
        <f>SUMIFS(Journal!$F$4:$F$9284,Journal!$C$4:$C$9284,G$8,Journal!$D$4:$D$9284,$B29)</f>
        <v>0</v>
      </c>
      <c r="H30" s="21">
        <f>SUMIFS(Journal!$F$4:$F$9284,Journal!$C$4:$C$9284,H$8,Journal!$D$4:$D$9284,$B29)</f>
        <v>0</v>
      </c>
      <c r="I30" s="21">
        <f>SUMIFS(Journal!$F$4:$F$9284,Journal!$C$4:$C$9284,I$8,Journal!$D$4:$D$9284,$B29)</f>
        <v>0</v>
      </c>
      <c r="J30" s="21">
        <f>SUMIFS(Journal!$F$4:$F$9284,Journal!$C$4:$C$9284,J$8,Journal!$D$4:$D$9284,$B29)</f>
        <v>0</v>
      </c>
      <c r="K30" s="21">
        <f>SUMIFS(Journal!$F$4:$F$9284,Journal!$C$4:$C$9284,K$8,Journal!$D$4:$D$9284,$B29)</f>
        <v>0</v>
      </c>
      <c r="L30" s="21">
        <f>SUMIFS(Journal!$F$4:$F$9284,Journal!$C$4:$C$9284,L$8,Journal!$D$4:$D$9284,$B29)</f>
        <v>0</v>
      </c>
      <c r="M30" s="21">
        <f>SUMIFS(Journal!$F$4:$F$9284,Journal!$C$4:$C$9284,M$8,Journal!$D$4:$D$9284,$B29)</f>
        <v>0</v>
      </c>
      <c r="N30" s="21">
        <f>SUMIFS(Journal!$F$4:$F$9284,Journal!$C$4:$C$9284,N$8,Journal!$D$4:$D$9284,$B29)</f>
        <v>0</v>
      </c>
      <c r="O30" s="21">
        <f>SUMIFS(Journal!$F$4:$F$9284,Journal!$C$4:$C$9284,O$8,Journal!$D$4:$D$9284,$B29)</f>
        <v>0</v>
      </c>
      <c r="P30" s="21">
        <f>SUMIFS(Journal!$F$4:$F$9284,Journal!$C$4:$C$9284,P$8,Journal!$D$4:$D$9284,$B29)</f>
        <v>0</v>
      </c>
      <c r="Q30" s="21">
        <f>SUMIFS(Journal!$F$4:$F$9284,Journal!$C$4:$C$9284,Q$8,Journal!$D$4:$D$9284,$B29)</f>
        <v>0</v>
      </c>
      <c r="R30" s="21">
        <f>SUMIFS(Journal!$F$4:$F$9284,Journal!$C$4:$C$9284,R$8,Journal!$D$4:$D$9284,$B29)</f>
        <v>0</v>
      </c>
      <c r="S30" s="21">
        <f>SUMIFS(Journal!$F$4:$F$9284,Journal!$C$4:$C$9284,S$8,Journal!$D$4:$D$9284,$B29)</f>
        <v>0</v>
      </c>
      <c r="T30" s="21">
        <f>SUMIFS(Journal!$F$4:$F$9284,Journal!$C$4:$C$9284,T$8,Journal!$D$4:$D$9284,$B29)</f>
        <v>0</v>
      </c>
      <c r="U30" s="66">
        <f t="shared" si="2"/>
        <v>6.25E-2</v>
      </c>
    </row>
    <row r="31" spans="1:21" ht="15" customHeight="1" x14ac:dyDescent="0.25">
      <c r="A31" s="37"/>
      <c r="B31" s="213" t="str">
        <f>Base!G12</f>
        <v>24 Cas d'utilisation</v>
      </c>
      <c r="C31" s="18" t="str">
        <f>A$5</f>
        <v>Prévu</v>
      </c>
      <c r="D31" s="32"/>
      <c r="E31" s="32"/>
      <c r="F31" s="32"/>
      <c r="G31" s="32"/>
      <c r="H31" s="32"/>
      <c r="I31" s="32"/>
      <c r="J31" s="32"/>
      <c r="K31" s="32"/>
      <c r="L31" s="32"/>
      <c r="M31" s="32"/>
      <c r="N31" s="32"/>
      <c r="O31" s="32"/>
      <c r="P31" s="32"/>
      <c r="Q31" s="32"/>
      <c r="R31" s="32"/>
      <c r="S31" s="32"/>
      <c r="T31" s="32"/>
      <c r="U31" s="65" t="str">
        <f t="shared" si="2"/>
        <v/>
      </c>
    </row>
    <row r="32" spans="1:21" ht="15" customHeight="1" thickBot="1" x14ac:dyDescent="0.3">
      <c r="A32" s="37"/>
      <c r="B32" s="212"/>
      <c r="C32" s="20" t="str">
        <f>A$6</f>
        <v>Réalisé</v>
      </c>
      <c r="D32" s="21">
        <f>SUMIFS(Journal!$F$4:$F$9284,Journal!$C$4:$C$9284,D$8,Journal!$D$4:$D$9284,$B31)</f>
        <v>0</v>
      </c>
      <c r="E32" s="21">
        <f>SUMIFS(Journal!$F$4:$F$9284,Journal!$C$4:$C$9284,E$8,Journal!$D$4:$D$9284,$B31)</f>
        <v>0</v>
      </c>
      <c r="F32" s="21">
        <f>SUMIFS(Journal!$F$4:$F$9284,Journal!$C$4:$C$9284,F$8,Journal!$D$4:$D$9284,$B31)</f>
        <v>1.3888888888888888E-2</v>
      </c>
      <c r="G32" s="21">
        <f>SUMIFS(Journal!$F$4:$F$9284,Journal!$C$4:$C$9284,G$8,Journal!$D$4:$D$9284,$B31)</f>
        <v>0</v>
      </c>
      <c r="H32" s="21">
        <f>SUMIFS(Journal!$F$4:$F$9284,Journal!$C$4:$C$9284,H$8,Journal!$D$4:$D$9284,$B31)</f>
        <v>0</v>
      </c>
      <c r="I32" s="21">
        <f>SUMIFS(Journal!$F$4:$F$9284,Journal!$C$4:$C$9284,I$8,Journal!$D$4:$D$9284,$B31)</f>
        <v>0</v>
      </c>
      <c r="J32" s="21">
        <f>SUMIFS(Journal!$F$4:$F$9284,Journal!$C$4:$C$9284,J$8,Journal!$D$4:$D$9284,$B31)</f>
        <v>0</v>
      </c>
      <c r="K32" s="21">
        <f>SUMIFS(Journal!$F$4:$F$9284,Journal!$C$4:$C$9284,K$8,Journal!$D$4:$D$9284,$B31)</f>
        <v>0</v>
      </c>
      <c r="L32" s="21">
        <f>SUMIFS(Journal!$F$4:$F$9284,Journal!$C$4:$C$9284,L$8,Journal!$D$4:$D$9284,$B31)</f>
        <v>0</v>
      </c>
      <c r="M32" s="21">
        <f>SUMIFS(Journal!$F$4:$F$9284,Journal!$C$4:$C$9284,M$8,Journal!$D$4:$D$9284,$B31)</f>
        <v>0</v>
      </c>
      <c r="N32" s="21">
        <f>SUMIFS(Journal!$F$4:$F$9284,Journal!$C$4:$C$9284,N$8,Journal!$D$4:$D$9284,$B31)</f>
        <v>0</v>
      </c>
      <c r="O32" s="21">
        <f>SUMIFS(Journal!$F$4:$F$9284,Journal!$C$4:$C$9284,O$8,Journal!$D$4:$D$9284,$B31)</f>
        <v>0</v>
      </c>
      <c r="P32" s="21">
        <f>SUMIFS(Journal!$F$4:$F$9284,Journal!$C$4:$C$9284,P$8,Journal!$D$4:$D$9284,$B31)</f>
        <v>0</v>
      </c>
      <c r="Q32" s="21">
        <f>SUMIFS(Journal!$F$4:$F$9284,Journal!$C$4:$C$9284,Q$8,Journal!$D$4:$D$9284,$B31)</f>
        <v>0</v>
      </c>
      <c r="R32" s="21">
        <f>SUMIFS(Journal!$F$4:$F$9284,Journal!$C$4:$C$9284,R$8,Journal!$D$4:$D$9284,$B31)</f>
        <v>0</v>
      </c>
      <c r="S32" s="21">
        <f>SUMIFS(Journal!$F$4:$F$9284,Journal!$C$4:$C$9284,S$8,Journal!$D$4:$D$9284,$B31)</f>
        <v>0</v>
      </c>
      <c r="T32" s="21">
        <f>SUMIFS(Journal!$F$4:$F$9284,Journal!$C$4:$C$9284,T$8,Journal!$D$4:$D$9284,$B31)</f>
        <v>0</v>
      </c>
      <c r="U32" s="66">
        <f t="shared" si="2"/>
        <v>1.3888888888888888E-2</v>
      </c>
    </row>
    <row r="33" spans="1:21" ht="15" customHeight="1" x14ac:dyDescent="0.25">
      <c r="A33" s="37"/>
      <c r="B33" s="213" t="str">
        <f>Base!G13</f>
        <v>25 Scénarii</v>
      </c>
      <c r="C33" s="18" t="str">
        <f>A$5</f>
        <v>Prévu</v>
      </c>
      <c r="D33" s="32"/>
      <c r="E33" s="32"/>
      <c r="F33" s="32"/>
      <c r="G33" s="32"/>
      <c r="H33" s="32"/>
      <c r="I33" s="32"/>
      <c r="J33" s="32"/>
      <c r="K33" s="32"/>
      <c r="L33" s="32"/>
      <c r="M33" s="32"/>
      <c r="N33" s="32"/>
      <c r="O33" s="32"/>
      <c r="P33" s="32"/>
      <c r="Q33" s="32"/>
      <c r="R33" s="32"/>
      <c r="S33" s="32"/>
      <c r="T33" s="32"/>
      <c r="U33" s="65" t="str">
        <f t="shared" si="2"/>
        <v/>
      </c>
    </row>
    <row r="34" spans="1:21" ht="15" customHeight="1" thickBot="1" x14ac:dyDescent="0.3">
      <c r="A34" s="37"/>
      <c r="B34" s="212"/>
      <c r="C34" s="20" t="str">
        <f>A$6</f>
        <v>Réalisé</v>
      </c>
      <c r="D34" s="21">
        <f>SUMIFS(Journal!$F$4:$F$9284,Journal!$C$4:$C$9284,D$8,Journal!$D$4:$D$9284,$B33)</f>
        <v>0</v>
      </c>
      <c r="E34" s="21">
        <f>SUMIFS(Journal!$F$4:$F$9284,Journal!$C$4:$C$9284,E$8,Journal!$D$4:$D$9284,$B33)</f>
        <v>0</v>
      </c>
      <c r="F34" s="21">
        <f>SUMIFS(Journal!$F$4:$F$9284,Journal!$C$4:$C$9284,F$8,Journal!$D$4:$D$9284,$B33)</f>
        <v>0</v>
      </c>
      <c r="G34" s="21">
        <f>SUMIFS(Journal!$F$4:$F$9284,Journal!$C$4:$C$9284,G$8,Journal!$D$4:$D$9284,$B33)</f>
        <v>0</v>
      </c>
      <c r="H34" s="21">
        <f>SUMIFS(Journal!$F$4:$F$9284,Journal!$C$4:$C$9284,H$8,Journal!$D$4:$D$9284,$B33)</f>
        <v>0</v>
      </c>
      <c r="I34" s="21">
        <f>SUMIFS(Journal!$F$4:$F$9284,Journal!$C$4:$C$9284,I$8,Journal!$D$4:$D$9284,$B33)</f>
        <v>0</v>
      </c>
      <c r="J34" s="21">
        <f>SUMIFS(Journal!$F$4:$F$9284,Journal!$C$4:$C$9284,J$8,Journal!$D$4:$D$9284,$B33)</f>
        <v>0</v>
      </c>
      <c r="K34" s="21">
        <f>SUMIFS(Journal!$F$4:$F$9284,Journal!$C$4:$C$9284,K$8,Journal!$D$4:$D$9284,$B33)</f>
        <v>0</v>
      </c>
      <c r="L34" s="21">
        <f>SUMIFS(Journal!$F$4:$F$9284,Journal!$C$4:$C$9284,L$8,Journal!$D$4:$D$9284,$B33)</f>
        <v>0</v>
      </c>
      <c r="M34" s="21">
        <f>SUMIFS(Journal!$F$4:$F$9284,Journal!$C$4:$C$9284,M$8,Journal!$D$4:$D$9284,$B33)</f>
        <v>0</v>
      </c>
      <c r="N34" s="21">
        <f>SUMIFS(Journal!$F$4:$F$9284,Journal!$C$4:$C$9284,N$8,Journal!$D$4:$D$9284,$B33)</f>
        <v>0</v>
      </c>
      <c r="O34" s="21">
        <f>SUMIFS(Journal!$F$4:$F$9284,Journal!$C$4:$C$9284,O$8,Journal!$D$4:$D$9284,$B33)</f>
        <v>0</v>
      </c>
      <c r="P34" s="21">
        <f>SUMIFS(Journal!$F$4:$F$9284,Journal!$C$4:$C$9284,P$8,Journal!$D$4:$D$9284,$B33)</f>
        <v>0</v>
      </c>
      <c r="Q34" s="21">
        <f>SUMIFS(Journal!$F$4:$F$9284,Journal!$C$4:$C$9284,Q$8,Journal!$D$4:$D$9284,$B33)</f>
        <v>0</v>
      </c>
      <c r="R34" s="21">
        <f>SUMIFS(Journal!$F$4:$F$9284,Journal!$C$4:$C$9284,R$8,Journal!$D$4:$D$9284,$B33)</f>
        <v>0</v>
      </c>
      <c r="S34" s="21">
        <f>SUMIFS(Journal!$F$4:$F$9284,Journal!$C$4:$C$9284,S$8,Journal!$D$4:$D$9284,$B33)</f>
        <v>0</v>
      </c>
      <c r="T34" s="21">
        <f>SUMIFS(Journal!$F$4:$F$9284,Journal!$C$4:$C$9284,T$8,Journal!$D$4:$D$9284,$B33)</f>
        <v>0</v>
      </c>
      <c r="U34" s="66" t="str">
        <f t="shared" si="2"/>
        <v/>
      </c>
    </row>
    <row r="35" spans="1:21" ht="15" customHeight="1" x14ac:dyDescent="0.25">
      <c r="A35" s="37"/>
      <c r="B35" s="213" t="str">
        <f>Base!G14</f>
        <v>26 -</v>
      </c>
      <c r="C35" s="18" t="str">
        <f>A$5</f>
        <v>Prévu</v>
      </c>
      <c r="D35" s="32"/>
      <c r="E35" s="32"/>
      <c r="F35" s="32"/>
      <c r="G35" s="32"/>
      <c r="H35" s="32"/>
      <c r="I35" s="32"/>
      <c r="J35" s="32"/>
      <c r="K35" s="32"/>
      <c r="L35" s="32"/>
      <c r="M35" s="32"/>
      <c r="N35" s="32"/>
      <c r="O35" s="32"/>
      <c r="P35" s="32"/>
      <c r="Q35" s="32"/>
      <c r="R35" s="32"/>
      <c r="S35" s="32"/>
      <c r="T35" s="32"/>
      <c r="U35" s="65" t="str">
        <f t="shared" si="2"/>
        <v/>
      </c>
    </row>
    <row r="36" spans="1:21" ht="15" customHeight="1" thickBot="1" x14ac:dyDescent="0.3">
      <c r="A36" s="37"/>
      <c r="B36" s="214"/>
      <c r="C36" s="20" t="str">
        <f>A$6</f>
        <v>Réalisé</v>
      </c>
      <c r="D36" s="21">
        <f>SUMIFS(Journal!$F$4:$F$9284,Journal!$C$4:$C$9284,D$8,Journal!$D$4:$D$9284,$B35)</f>
        <v>0</v>
      </c>
      <c r="E36" s="21">
        <f>SUMIFS(Journal!$F$4:$F$9284,Journal!$C$4:$C$9284,E$8,Journal!$D$4:$D$9284,$B35)</f>
        <v>0</v>
      </c>
      <c r="F36" s="21">
        <f>SUMIFS(Journal!$F$4:$F$9284,Journal!$C$4:$C$9284,F$8,Journal!$D$4:$D$9284,$B35)</f>
        <v>0</v>
      </c>
      <c r="G36" s="21">
        <f>SUMIFS(Journal!$F$4:$F$9284,Journal!$C$4:$C$9284,G$8,Journal!$D$4:$D$9284,$B35)</f>
        <v>0</v>
      </c>
      <c r="H36" s="21">
        <f>SUMIFS(Journal!$F$4:$F$9284,Journal!$C$4:$C$9284,H$8,Journal!$D$4:$D$9284,$B35)</f>
        <v>0</v>
      </c>
      <c r="I36" s="21">
        <f>SUMIFS(Journal!$F$4:$F$9284,Journal!$C$4:$C$9284,I$8,Journal!$D$4:$D$9284,$B35)</f>
        <v>0</v>
      </c>
      <c r="J36" s="21">
        <f>SUMIFS(Journal!$F$4:$F$9284,Journal!$C$4:$C$9284,J$8,Journal!$D$4:$D$9284,$B35)</f>
        <v>0</v>
      </c>
      <c r="K36" s="21">
        <f>SUMIFS(Journal!$F$4:$F$9284,Journal!$C$4:$C$9284,K$8,Journal!$D$4:$D$9284,$B35)</f>
        <v>0</v>
      </c>
      <c r="L36" s="21">
        <f>SUMIFS(Journal!$F$4:$F$9284,Journal!$C$4:$C$9284,L$8,Journal!$D$4:$D$9284,$B35)</f>
        <v>0</v>
      </c>
      <c r="M36" s="21">
        <f>SUMIFS(Journal!$F$4:$F$9284,Journal!$C$4:$C$9284,M$8,Journal!$D$4:$D$9284,$B35)</f>
        <v>0</v>
      </c>
      <c r="N36" s="21">
        <f>SUMIFS(Journal!$F$4:$F$9284,Journal!$C$4:$C$9284,N$8,Journal!$D$4:$D$9284,$B35)</f>
        <v>0</v>
      </c>
      <c r="O36" s="21">
        <f>SUMIFS(Journal!$F$4:$F$9284,Journal!$C$4:$C$9284,O$8,Journal!$D$4:$D$9284,$B35)</f>
        <v>0</v>
      </c>
      <c r="P36" s="21">
        <f>SUMIFS(Journal!$F$4:$F$9284,Journal!$C$4:$C$9284,P$8,Journal!$D$4:$D$9284,$B35)</f>
        <v>0</v>
      </c>
      <c r="Q36" s="21">
        <f>SUMIFS(Journal!$F$4:$F$9284,Journal!$C$4:$C$9284,Q$8,Journal!$D$4:$D$9284,$B35)</f>
        <v>0</v>
      </c>
      <c r="R36" s="21">
        <f>SUMIFS(Journal!$F$4:$F$9284,Journal!$C$4:$C$9284,R$8,Journal!$D$4:$D$9284,$B35)</f>
        <v>0</v>
      </c>
      <c r="S36" s="21">
        <f>SUMIFS(Journal!$F$4:$F$9284,Journal!$C$4:$C$9284,S$8,Journal!$D$4:$D$9284,$B35)</f>
        <v>0</v>
      </c>
      <c r="T36" s="21">
        <f>SUMIFS(Journal!$F$4:$F$9284,Journal!$C$4:$C$9284,T$8,Journal!$D$4:$D$9284,$B35)</f>
        <v>0</v>
      </c>
      <c r="U36" s="66" t="str">
        <f t="shared" si="2"/>
        <v/>
      </c>
    </row>
    <row r="37" spans="1:21" ht="20.25" customHeight="1" x14ac:dyDescent="0.25">
      <c r="A37" s="61" t="str">
        <f>Base!F15</f>
        <v>3 Implémentation</v>
      </c>
      <c r="B37" s="62"/>
      <c r="C37" s="62"/>
      <c r="D37" s="62"/>
      <c r="E37" s="62"/>
      <c r="F37" s="62"/>
      <c r="G37" s="62"/>
      <c r="H37" s="62"/>
      <c r="I37" s="62"/>
      <c r="J37" s="62"/>
      <c r="K37" s="62"/>
      <c r="L37" s="62"/>
      <c r="M37" s="62"/>
      <c r="N37" s="62"/>
      <c r="O37" s="62"/>
      <c r="P37" s="62"/>
      <c r="Q37" s="62"/>
      <c r="R37" s="62"/>
      <c r="S37" s="62"/>
      <c r="T37" s="62"/>
      <c r="U37" s="16">
        <f>SUMIF($C41:$C58,$C41,U41:U58)</f>
        <v>0.65277777777777779</v>
      </c>
    </row>
    <row r="38" spans="1:21" ht="15" customHeight="1" thickBot="1" x14ac:dyDescent="0.3">
      <c r="A38" s="63"/>
      <c r="B38" s="64"/>
      <c r="C38" s="64"/>
      <c r="D38" s="64"/>
      <c r="E38" s="64"/>
      <c r="F38" s="64"/>
      <c r="G38" s="64"/>
      <c r="H38" s="64"/>
      <c r="I38" s="64"/>
      <c r="J38" s="64"/>
      <c r="K38" s="64"/>
      <c r="L38" s="64"/>
      <c r="M38" s="64"/>
      <c r="N38" s="64"/>
      <c r="O38" s="64"/>
      <c r="P38" s="64"/>
      <c r="Q38" s="64"/>
      <c r="R38" s="64"/>
      <c r="S38" s="64"/>
      <c r="T38" s="64"/>
      <c r="U38" s="17">
        <f>SUMIF($C41:$C58,$C42,U41:U58)</f>
        <v>0</v>
      </c>
    </row>
    <row r="39" spans="1:21" ht="15" customHeight="1" x14ac:dyDescent="0.25">
      <c r="A39" s="37"/>
      <c r="B39" s="39" t="str">
        <f>Base!G15</f>
        <v>30 Base du projet C# (classe … )</v>
      </c>
      <c r="C39" s="18" t="str">
        <f>A$5</f>
        <v>Prévu</v>
      </c>
      <c r="D39" s="32"/>
      <c r="E39" s="32"/>
      <c r="F39" s="32">
        <v>0.125</v>
      </c>
      <c r="G39" s="32"/>
      <c r="H39" s="32">
        <v>2.0833333333333332E-2</v>
      </c>
      <c r="I39" s="32"/>
      <c r="J39" s="32"/>
      <c r="K39" s="32"/>
      <c r="L39" s="32"/>
      <c r="M39" s="32"/>
      <c r="N39" s="32">
        <v>2.7777777777777776E-2</v>
      </c>
      <c r="O39" s="32"/>
      <c r="P39" s="32">
        <v>8.3333333333333329E-2</v>
      </c>
      <c r="Q39" s="32"/>
      <c r="R39" s="32"/>
      <c r="S39" s="32"/>
      <c r="T39" s="32"/>
      <c r="U39" s="19">
        <f>IF(SUM(E39:T39)=0,"",SUM(E39:T39))</f>
        <v>0.25694444444444442</v>
      </c>
    </row>
    <row r="40" spans="1:21" ht="15" customHeight="1" thickBot="1" x14ac:dyDescent="0.3">
      <c r="A40" s="37"/>
      <c r="B40" s="27"/>
      <c r="C40" s="20" t="str">
        <f>A$6</f>
        <v>Réalisé</v>
      </c>
      <c r="D40" s="21">
        <f>SUMIFS(Journal!$F$4:$F$9284,Journal!$C$4:$C$9284,D$8,Journal!$D$4:$D$9284,$B39)</f>
        <v>0</v>
      </c>
      <c r="E40" s="21"/>
      <c r="F40" s="21">
        <f>SUMIFS(Journal!$F$4:$F$9284,Journal!$C$4:$C$9284,F$8,Journal!$D$4:$D$9284,$B39)</f>
        <v>1.0416666666666666E-2</v>
      </c>
      <c r="G40" s="21"/>
      <c r="H40" s="21">
        <f>SUMIFS(Journal!$F$4:$F$9284,Journal!$C$4:$C$9284,H$8,Journal!$D$4:$D$9284,$B39)</f>
        <v>0</v>
      </c>
      <c r="I40" s="21"/>
      <c r="J40" s="21">
        <f>SUMIFS(Journal!$F$4:$F$9284,Journal!$C$4:$C$9284,J$8,Journal!$D$4:$D$9284,$B39)</f>
        <v>0</v>
      </c>
      <c r="K40" s="21"/>
      <c r="L40" s="21">
        <f>SUMIFS(Journal!$F$4:$F$9284,Journal!$C$4:$C$9284,L$8,Journal!$D$4:$D$9284,$B39)</f>
        <v>0</v>
      </c>
      <c r="M40" s="21"/>
      <c r="N40" s="21">
        <f>SUMIFS(Journal!$F$4:$F$9284,Journal!$C$4:$C$9284,N$8,Journal!$D$4:$D$9284,$B39)</f>
        <v>0</v>
      </c>
      <c r="O40" s="21"/>
      <c r="P40" s="21">
        <f>SUMIFS(Journal!$F$4:$F$9284,Journal!$C$4:$C$9284,P$8,Journal!$D$4:$D$9284,$B39)</f>
        <v>0</v>
      </c>
      <c r="Q40" s="21"/>
      <c r="R40" s="21">
        <f>SUMIFS(Journal!$F$4:$F$9284,Journal!$C$4:$C$9284,R$8,Journal!$D$4:$D$9284,$B39)</f>
        <v>0</v>
      </c>
      <c r="S40" s="21"/>
      <c r="T40" s="21">
        <f>SUMIFS(Journal!$F$4:$F$9284,Journal!$C$4:$C$9284,T$8,Journal!$D$4:$D$9284,$B39)</f>
        <v>0</v>
      </c>
      <c r="U40" s="24">
        <f>IF(SUM(D40:T40)=0,"",SUM(D40:T40))</f>
        <v>1.0416666666666666E-2</v>
      </c>
    </row>
    <row r="41" spans="1:21" ht="15" customHeight="1" x14ac:dyDescent="0.25">
      <c r="A41" s="37"/>
      <c r="B41" s="39" t="str">
        <f>Base!G16</f>
        <v>31 Script création BDD</v>
      </c>
      <c r="C41" s="18" t="str">
        <f>A$5</f>
        <v>Prévu</v>
      </c>
      <c r="D41" s="32"/>
      <c r="E41" s="32"/>
      <c r="F41" s="32">
        <v>1.3888888888888888E-2</v>
      </c>
      <c r="G41" s="32"/>
      <c r="H41" s="32"/>
      <c r="I41" s="32"/>
      <c r="J41" s="32"/>
      <c r="K41" s="32"/>
      <c r="L41" s="32"/>
      <c r="M41" s="32"/>
      <c r="N41" s="32"/>
      <c r="O41" s="32"/>
      <c r="P41" s="32"/>
      <c r="Q41" s="32"/>
      <c r="R41" s="32">
        <v>1.3888888888888888E-2</v>
      </c>
      <c r="S41" s="32"/>
      <c r="T41" s="32"/>
      <c r="U41" s="19">
        <f>IF(SUM(E41:T41)=0,"",SUM(E41:T41))</f>
        <v>2.7777777777777776E-2</v>
      </c>
    </row>
    <row r="42" spans="1:21" ht="15" customHeight="1" thickBot="1" x14ac:dyDescent="0.3">
      <c r="A42" s="37"/>
      <c r="B42" s="27"/>
      <c r="C42" s="20" t="str">
        <f>A$6</f>
        <v>Réalisé</v>
      </c>
      <c r="D42" s="21">
        <f>SUMIFS(Journal!$F$4:$F$9284,Journal!$C$4:$C$9284,D$8,Journal!$D$4:$D$9284,$B41)</f>
        <v>0</v>
      </c>
      <c r="E42" s="21"/>
      <c r="F42" s="21">
        <f>SUMIFS(Journal!$F$4:$F$9284,Journal!$C$4:$C$9284,F$8,Journal!$D$4:$D$9284,$B41)</f>
        <v>0</v>
      </c>
      <c r="G42" s="21"/>
      <c r="H42" s="21">
        <f>SUMIFS(Journal!$F$4:$F$9284,Journal!$C$4:$C$9284,H$8,Journal!$D$4:$D$9284,$B41)</f>
        <v>0</v>
      </c>
      <c r="I42" s="21"/>
      <c r="J42" s="21">
        <f>SUMIFS(Journal!$F$4:$F$9284,Journal!$C$4:$C$9284,J$8,Journal!$D$4:$D$9284,$B41)</f>
        <v>0</v>
      </c>
      <c r="K42" s="21"/>
      <c r="L42" s="21">
        <f>SUMIFS(Journal!$F$4:$F$9284,Journal!$C$4:$C$9284,L$8,Journal!$D$4:$D$9284,$B41)</f>
        <v>0</v>
      </c>
      <c r="M42" s="21"/>
      <c r="N42" s="21">
        <f>SUMIFS(Journal!$F$4:$F$9284,Journal!$C$4:$C$9284,N$8,Journal!$D$4:$D$9284,$B41)</f>
        <v>0</v>
      </c>
      <c r="O42" s="21"/>
      <c r="P42" s="21">
        <f>SUMIFS(Journal!$F$4:$F$9284,Journal!$C$4:$C$9284,P$8,Journal!$D$4:$D$9284,$B41)</f>
        <v>0</v>
      </c>
      <c r="Q42" s="21"/>
      <c r="R42" s="21">
        <f>SUMIFS(Journal!$F$4:$F$9284,Journal!$C$4:$C$9284,R$8,Journal!$D$4:$D$9284,$B41)</f>
        <v>0</v>
      </c>
      <c r="S42" s="21"/>
      <c r="T42" s="21">
        <f>SUMIFS(Journal!$F$4:$F$9284,Journal!$C$4:$C$9284,T$8,Journal!$D$4:$D$9284,$B41)</f>
        <v>0</v>
      </c>
      <c r="U42" s="24" t="str">
        <f>IF(SUM(D42:T42)=0,"",SUM(D42:T42))</f>
        <v/>
      </c>
    </row>
    <row r="43" spans="1:21" ht="15" customHeight="1" x14ac:dyDescent="0.25">
      <c r="A43" s="37"/>
      <c r="B43" s="39" t="str">
        <f>Base!G17</f>
        <v>32 Script insertion données</v>
      </c>
      <c r="C43" s="18" t="str">
        <f>A$5</f>
        <v>Prévu</v>
      </c>
      <c r="D43" s="32"/>
      <c r="E43" s="32"/>
      <c r="F43" s="32"/>
      <c r="G43" s="32"/>
      <c r="H43" s="32">
        <v>4.1666666666666664E-2</v>
      </c>
      <c r="I43" s="32"/>
      <c r="J43" s="32"/>
      <c r="K43" s="32"/>
      <c r="L43" s="32"/>
      <c r="M43" s="32"/>
      <c r="N43" s="32"/>
      <c r="O43" s="32"/>
      <c r="P43" s="32"/>
      <c r="Q43" s="32"/>
      <c r="R43" s="32">
        <v>1.3888888888888888E-2</v>
      </c>
      <c r="S43" s="32"/>
      <c r="T43" s="32"/>
      <c r="U43" s="19">
        <f>IF(SUM(E43:T43)=0,"",SUM(E43:T43))</f>
        <v>5.5555555555555552E-2</v>
      </c>
    </row>
    <row r="44" spans="1:21" ht="15" customHeight="1" thickBot="1" x14ac:dyDescent="0.3">
      <c r="A44" s="37"/>
      <c r="B44" s="27"/>
      <c r="C44" s="20" t="str">
        <f>A$6</f>
        <v>Réalisé</v>
      </c>
      <c r="D44" s="21">
        <f>SUMIFS(Journal!$F$4:$F$9284,Journal!$C$4:$C$9284,D$8,Journal!$D$4:$D$9284,$B43)</f>
        <v>0</v>
      </c>
      <c r="E44" s="21"/>
      <c r="F44" s="21">
        <f>SUMIFS(Journal!$F$4:$F$9284,Journal!$C$4:$C$9284,F$8,Journal!$D$4:$D$9284,$B43)</f>
        <v>0</v>
      </c>
      <c r="G44" s="21"/>
      <c r="H44" s="21">
        <f>SUMIFS(Journal!$F$4:$F$9284,Journal!$C$4:$C$9284,H$8,Journal!$D$4:$D$9284,$B43)</f>
        <v>0</v>
      </c>
      <c r="I44" s="21"/>
      <c r="J44" s="21">
        <f>SUMIFS(Journal!$F$4:$F$9284,Journal!$C$4:$C$9284,J$8,Journal!$D$4:$D$9284,$B43)</f>
        <v>0</v>
      </c>
      <c r="K44" s="21"/>
      <c r="L44" s="21"/>
      <c r="M44" s="21"/>
      <c r="N44" s="21">
        <f>SUMIFS(Journal!$F$4:$F$9284,Journal!$C$4:$C$9284,N$8,Journal!$D$4:$D$9284,$B43)</f>
        <v>0</v>
      </c>
      <c r="O44" s="21"/>
      <c r="P44" s="21">
        <f>SUMIFS(Journal!$F$4:$F$9284,Journal!$C$4:$C$9284,P$8,Journal!$D$4:$D$9284,$B43)</f>
        <v>0</v>
      </c>
      <c r="Q44" s="21"/>
      <c r="R44" s="21">
        <f>SUMIFS(Journal!$F$4:$F$9284,Journal!$C$4:$C$9284,R$8,Journal!$D$4:$D$9284,$B43)</f>
        <v>0</v>
      </c>
      <c r="S44" s="21"/>
      <c r="T44" s="21">
        <f>SUMIFS(Journal!$F$4:$F$9284,Journal!$C$4:$C$9284,T$8,Journal!$D$4:$D$9284,$B43)</f>
        <v>0</v>
      </c>
      <c r="U44" s="24" t="str">
        <f t="shared" ref="U44:U58" si="3">IF(SUM(D44:T44)=0,"",SUM(D44:T44))</f>
        <v/>
      </c>
    </row>
    <row r="45" spans="1:21" ht="15" customHeight="1" x14ac:dyDescent="0.25">
      <c r="A45" s="37"/>
      <c r="B45" s="39" t="str">
        <f>Base!G18</f>
        <v>33  Connection à la BDD</v>
      </c>
      <c r="C45" s="18" t="str">
        <f>A$5</f>
        <v>Prévu</v>
      </c>
      <c r="D45" s="32"/>
      <c r="E45" s="32"/>
      <c r="F45" s="32">
        <v>2.7777777777777776E-2</v>
      </c>
      <c r="G45" s="32"/>
      <c r="H45" s="32"/>
      <c r="I45" s="32"/>
      <c r="J45" s="32"/>
      <c r="K45" s="32"/>
      <c r="L45" s="32"/>
      <c r="M45" s="32"/>
      <c r="N45" s="32"/>
      <c r="O45" s="32"/>
      <c r="P45" s="32"/>
      <c r="Q45" s="32"/>
      <c r="R45" s="32"/>
      <c r="S45" s="32"/>
      <c r="T45" s="32"/>
      <c r="U45" s="19">
        <f t="shared" si="3"/>
        <v>2.7777777777777776E-2</v>
      </c>
    </row>
    <row r="46" spans="1:21" ht="15" customHeight="1" thickBot="1" x14ac:dyDescent="0.3">
      <c r="A46" s="37"/>
      <c r="B46" s="27"/>
      <c r="C46" s="20" t="str">
        <f>A$6</f>
        <v>Réalisé</v>
      </c>
      <c r="D46" s="21">
        <f>SUMIFS(Journal!$F$4:$F$9284,Journal!$C$4:$C$9284,D$8,Journal!$D$4:$D$9284,$B45)</f>
        <v>0</v>
      </c>
      <c r="E46" s="21"/>
      <c r="F46" s="21">
        <f>SUMIFS(Journal!$F$4:$F$9284,Journal!$C$4:$C$9284,F$8,Journal!$D$4:$D$9284,$B45)</f>
        <v>0</v>
      </c>
      <c r="G46" s="21"/>
      <c r="H46" s="21">
        <f>SUMIFS(Journal!$F$4:$F$9284,Journal!$C$4:$C$9284,H$8,Journal!$D$4:$D$9284,$B45)</f>
        <v>0</v>
      </c>
      <c r="I46" s="21"/>
      <c r="J46" s="21">
        <f>SUMIFS(Journal!$F$4:$F$9284,Journal!$C$4:$C$9284,J$8,Journal!$D$4:$D$9284,$B45)</f>
        <v>0</v>
      </c>
      <c r="K46" s="21"/>
      <c r="L46" s="21"/>
      <c r="M46" s="21"/>
      <c r="N46" s="21"/>
      <c r="O46" s="21"/>
      <c r="P46" s="21">
        <f>SUMIFS(Journal!$F$4:$F$9284,Journal!$C$4:$C$9284,P$8,Journal!$D$4:$D$9284,$B45)</f>
        <v>0</v>
      </c>
      <c r="Q46" s="21"/>
      <c r="R46" s="21">
        <f>SUMIFS(Journal!$F$4:$F$9284,Journal!$C$4:$C$9284,R$8,Journal!$D$4:$D$9284,$B45)</f>
        <v>0</v>
      </c>
      <c r="S46" s="21"/>
      <c r="T46" s="21">
        <f>SUMIFS(Journal!$F$4:$F$9284,Journal!$C$4:$C$9284,T$8,Journal!$D$4:$D$9284,$B45)</f>
        <v>0</v>
      </c>
      <c r="U46" s="24" t="str">
        <f t="shared" si="3"/>
        <v/>
      </c>
    </row>
    <row r="47" spans="1:21" ht="15" customHeight="1" x14ac:dyDescent="0.25">
      <c r="A47" s="37"/>
      <c r="B47" s="39" t="str">
        <f>Base!G19</f>
        <v>34  Ajout au stock</v>
      </c>
      <c r="C47" s="18" t="str">
        <f>A$5</f>
        <v>Prévu</v>
      </c>
      <c r="D47" s="32"/>
      <c r="E47" s="32"/>
      <c r="F47" s="32"/>
      <c r="G47" s="32"/>
      <c r="H47" s="32">
        <v>8.3333333333333329E-2</v>
      </c>
      <c r="I47" s="32"/>
      <c r="J47" s="32"/>
      <c r="K47" s="32"/>
      <c r="L47" s="32"/>
      <c r="M47" s="32"/>
      <c r="N47" s="32">
        <v>4.1666666666666664E-2</v>
      </c>
      <c r="O47" s="32"/>
      <c r="P47" s="32"/>
      <c r="Q47" s="32"/>
      <c r="R47" s="32"/>
      <c r="S47" s="32"/>
      <c r="T47" s="32"/>
      <c r="U47" s="19">
        <f t="shared" si="3"/>
        <v>0.125</v>
      </c>
    </row>
    <row r="48" spans="1:21" ht="15" customHeight="1" thickBot="1" x14ac:dyDescent="0.3">
      <c r="A48" s="37"/>
      <c r="B48" s="27"/>
      <c r="C48" s="20" t="str">
        <f>A$6</f>
        <v>Réalisé</v>
      </c>
      <c r="D48" s="21">
        <f>SUMIFS(Journal!$F$4:$F$9284,Journal!$C$4:$C$9284,D$8,Journal!$D$4:$D$9284,$B47)</f>
        <v>0</v>
      </c>
      <c r="E48" s="21"/>
      <c r="F48" s="21">
        <f>SUMIFS(Journal!$F$4:$F$9284,Journal!$C$4:$C$9284,F$8,Journal!$D$4:$D$9284,$B47)</f>
        <v>0</v>
      </c>
      <c r="G48" s="21"/>
      <c r="H48" s="21">
        <f>SUMIFS(Journal!$F$4:$F$9284,Journal!$C$4:$C$9284,H$8,Journal!$D$4:$D$9284,$B47)</f>
        <v>0</v>
      </c>
      <c r="I48" s="21"/>
      <c r="J48" s="21">
        <f>SUMIFS(Journal!$F$4:$F$9284,Journal!$C$4:$C$9284,J$8,Journal!$D$4:$D$9284,$B47)</f>
        <v>0</v>
      </c>
      <c r="K48" s="21"/>
      <c r="L48" s="21">
        <f>SUMIFS(Journal!$F$4:$F$9284,Journal!$C$4:$C$9284,L$8,Journal!$D$4:$D$9284,$B47)</f>
        <v>0</v>
      </c>
      <c r="M48" s="21"/>
      <c r="N48" s="21">
        <f>SUMIFS(Journal!$F$4:$F$9284,Journal!$C$4:$C$9284,N$8,Journal!$D$4:$D$9284,$B47)</f>
        <v>0</v>
      </c>
      <c r="O48" s="21"/>
      <c r="P48" s="21">
        <f>SUMIFS(Journal!$F$4:$F$9284,Journal!$C$4:$C$9284,P$8,Journal!$D$4:$D$9284,$B47)</f>
        <v>0</v>
      </c>
      <c r="Q48" s="21"/>
      <c r="R48" s="21">
        <f>SUMIFS(Journal!$F$4:$F$9284,Journal!$C$4:$C$9284,R$8,Journal!$D$4:$D$9284,$B47)</f>
        <v>0</v>
      </c>
      <c r="S48" s="21"/>
      <c r="T48" s="21">
        <f>SUMIFS(Journal!$F$4:$F$9284,Journal!$C$4:$C$9284,T$8,Journal!$D$4:$D$9284,$B47)</f>
        <v>0</v>
      </c>
      <c r="U48" s="24" t="str">
        <f t="shared" si="3"/>
        <v/>
      </c>
    </row>
    <row r="49" spans="1:21" ht="15" customHeight="1" x14ac:dyDescent="0.25">
      <c r="A49" s="37"/>
      <c r="B49" s="39" t="str">
        <f>Base!G20</f>
        <v>35  Retrait du stock</v>
      </c>
      <c r="C49" s="18" t="str">
        <f>A$5</f>
        <v>Prévu</v>
      </c>
      <c r="D49" s="32"/>
      <c r="E49" s="32"/>
      <c r="F49" s="32"/>
      <c r="G49" s="32"/>
      <c r="H49" s="32">
        <v>8.3333333333333329E-2</v>
      </c>
      <c r="I49" s="32"/>
      <c r="J49" s="32"/>
      <c r="K49" s="32"/>
      <c r="L49" s="32"/>
      <c r="M49" s="32"/>
      <c r="N49" s="32"/>
      <c r="O49" s="32"/>
      <c r="P49" s="32"/>
      <c r="Q49" s="32"/>
      <c r="R49" s="32"/>
      <c r="S49" s="32"/>
      <c r="T49" s="32"/>
      <c r="U49" s="19">
        <f t="shared" si="3"/>
        <v>8.3333333333333329E-2</v>
      </c>
    </row>
    <row r="50" spans="1:21" ht="15" customHeight="1" thickBot="1" x14ac:dyDescent="0.3">
      <c r="A50" s="37"/>
      <c r="B50" s="27"/>
      <c r="C50" s="20" t="str">
        <f>A$6</f>
        <v>Réalisé</v>
      </c>
      <c r="D50" s="21">
        <f>SUMIFS(Journal!$F$4:$F$9284,Journal!$C$4:$C$9284,D$8,Journal!$D$4:$D$9284,$B49)</f>
        <v>0</v>
      </c>
      <c r="E50" s="21">
        <f>SUMIFS(Journal!$F$4:$F$9284,Journal!$C$4:$C$9284,E$8,Journal!$D$4:$D$9284,$B49)</f>
        <v>0</v>
      </c>
      <c r="F50" s="21">
        <f>SUMIFS(Journal!$F$4:$F$9284,Journal!$C$4:$C$9284,F$8,Journal!$D$4:$D$9284,$B49)</f>
        <v>0</v>
      </c>
      <c r="G50" s="21">
        <f>SUMIFS(Journal!$F$4:$F$9284,Journal!$C$4:$C$9284,G$8,Journal!$D$4:$D$9284,$B49)</f>
        <v>0</v>
      </c>
      <c r="H50" s="21">
        <f>SUMIFS(Journal!$F$4:$F$9284,Journal!$C$4:$C$9284,H$8,Journal!$D$4:$D$9284,$B49)</f>
        <v>0</v>
      </c>
      <c r="I50" s="21">
        <f>SUMIFS(Journal!$F$4:$F$9284,Journal!$C$4:$C$9284,I$8,Journal!$D$4:$D$9284,$B49)</f>
        <v>0</v>
      </c>
      <c r="J50" s="21">
        <f>SUMIFS(Journal!$F$4:$F$9284,Journal!$C$4:$C$9284,J$8,Journal!$D$4:$D$9284,$B49)</f>
        <v>0</v>
      </c>
      <c r="K50" s="21">
        <f>SUMIFS(Journal!$F$4:$F$9284,Journal!$C$4:$C$9284,K$8,Journal!$D$4:$D$9284,$B49)</f>
        <v>0</v>
      </c>
      <c r="L50" s="21">
        <f>SUMIFS(Journal!$F$4:$F$9284,Journal!$C$4:$C$9284,L$8,Journal!$D$4:$D$9284,$B49)</f>
        <v>0</v>
      </c>
      <c r="M50" s="21">
        <f>SUMIFS(Journal!$F$4:$F$9284,Journal!$C$4:$C$9284,M$8,Journal!$D$4:$D$9284,$B49)</f>
        <v>0</v>
      </c>
      <c r="N50" s="21">
        <f>SUMIFS(Journal!$F$4:$F$9284,Journal!$C$4:$C$9284,N$8,Journal!$D$4:$D$9284,$B49)</f>
        <v>0</v>
      </c>
      <c r="O50" s="21">
        <f>SUMIFS(Journal!$F$4:$F$9284,Journal!$C$4:$C$9284,O$8,Journal!$D$4:$D$9284,$B49)</f>
        <v>0</v>
      </c>
      <c r="P50" s="21">
        <f>SUMIFS(Journal!$F$4:$F$9284,Journal!$C$4:$C$9284,P$8,Journal!$D$4:$D$9284,$B49)</f>
        <v>0</v>
      </c>
      <c r="Q50" s="21">
        <f>SUMIFS(Journal!$F$4:$F$9284,Journal!$C$4:$C$9284,Q$8,Journal!$D$4:$D$9284,$B49)</f>
        <v>0</v>
      </c>
      <c r="R50" s="21">
        <f>SUMIFS(Journal!$F$4:$F$9284,Journal!$C$4:$C$9284,R$8,Journal!$D$4:$D$9284,$B49)</f>
        <v>0</v>
      </c>
      <c r="S50" s="21">
        <f>SUMIFS(Journal!$F$4:$F$9284,Journal!$C$4:$C$9284,S$8,Journal!$D$4:$D$9284,$B49)</f>
        <v>0</v>
      </c>
      <c r="T50" s="21">
        <f>SUMIFS(Journal!$F$4:$F$9284,Journal!$C$4:$C$9284,T$8,Journal!$D$4:$D$9284,$B49)</f>
        <v>0</v>
      </c>
      <c r="U50" s="24" t="str">
        <f t="shared" si="3"/>
        <v/>
      </c>
    </row>
    <row r="51" spans="1:21" ht="15" customHeight="1" x14ac:dyDescent="0.25">
      <c r="A51" s="37"/>
      <c r="B51" s="39" t="str">
        <f>Base!G21</f>
        <v>36 Génération de pdf</v>
      </c>
      <c r="C51" s="18" t="str">
        <f>A$5</f>
        <v>Prévu</v>
      </c>
      <c r="D51" s="32"/>
      <c r="E51" s="32"/>
      <c r="F51" s="32"/>
      <c r="G51" s="32"/>
      <c r="H51" s="32"/>
      <c r="I51" s="32"/>
      <c r="J51" s="32"/>
      <c r="K51" s="32"/>
      <c r="L51" s="32"/>
      <c r="M51" s="32"/>
      <c r="N51" s="32">
        <v>8.3333333333333329E-2</v>
      </c>
      <c r="O51" s="32"/>
      <c r="P51" s="32"/>
      <c r="Q51" s="32"/>
      <c r="R51" s="32"/>
      <c r="S51" s="32"/>
      <c r="T51" s="32"/>
      <c r="U51" s="19">
        <f t="shared" ref="U51:U53" si="4">IF(SUM(D51:T51)=0,"",SUM(D51:T51))</f>
        <v>8.3333333333333329E-2</v>
      </c>
    </row>
    <row r="52" spans="1:21" ht="15" customHeight="1" thickBot="1" x14ac:dyDescent="0.3">
      <c r="A52" s="37"/>
      <c r="B52" s="27"/>
      <c r="C52" s="20" t="str">
        <f>A$6</f>
        <v>Réalisé</v>
      </c>
      <c r="D52" s="21">
        <f>SUMIFS(Journal!$F$4:$F$9284,Journal!$C$4:$C$9284,D$8,Journal!$D$4:$D$9284,$B51)</f>
        <v>0</v>
      </c>
      <c r="E52" s="21">
        <f>SUMIFS(Journal!$F$4:$F$9284,Journal!$C$4:$C$9284,E$8,Journal!$D$4:$D$9284,$B51)</f>
        <v>0</v>
      </c>
      <c r="F52" s="21">
        <f>SUMIFS(Journal!$F$4:$F$9284,Journal!$C$4:$C$9284,F$8,Journal!$D$4:$D$9284,$B51)</f>
        <v>0</v>
      </c>
      <c r="G52" s="21">
        <f>SUMIFS(Journal!$F$4:$F$9284,Journal!$C$4:$C$9284,G$8,Journal!$D$4:$D$9284,$B51)</f>
        <v>0</v>
      </c>
      <c r="H52" s="21">
        <f>SUMIFS(Journal!$F$4:$F$9284,Journal!$C$4:$C$9284,H$8,Journal!$D$4:$D$9284,$B51)</f>
        <v>0</v>
      </c>
      <c r="I52" s="21">
        <f>SUMIFS(Journal!$F$4:$F$9284,Journal!$C$4:$C$9284,I$8,Journal!$D$4:$D$9284,$B51)</f>
        <v>0</v>
      </c>
      <c r="J52" s="21">
        <f>SUMIFS(Journal!$F$4:$F$9284,Journal!$C$4:$C$9284,J$8,Journal!$D$4:$D$9284,$B51)</f>
        <v>0</v>
      </c>
      <c r="K52" s="21">
        <f>SUMIFS(Journal!$F$4:$F$9284,Journal!$C$4:$C$9284,K$8,Journal!$D$4:$D$9284,$B51)</f>
        <v>0</v>
      </c>
      <c r="L52" s="21">
        <f>SUMIFS(Journal!$F$4:$F$9284,Journal!$C$4:$C$9284,L$8,Journal!$D$4:$D$9284,$B51)</f>
        <v>0</v>
      </c>
      <c r="M52" s="21">
        <f>SUMIFS(Journal!$F$4:$F$9284,Journal!$C$4:$C$9284,M$8,Journal!$D$4:$D$9284,$B51)</f>
        <v>0</v>
      </c>
      <c r="N52" s="21">
        <f>SUMIFS(Journal!$F$4:$F$9284,Journal!$C$4:$C$9284,N$8,Journal!$D$4:$D$9284,$B51)</f>
        <v>0</v>
      </c>
      <c r="O52" s="21">
        <f>SUMIFS(Journal!$F$4:$F$9284,Journal!$C$4:$C$9284,O$8,Journal!$D$4:$D$9284,$B51)</f>
        <v>0</v>
      </c>
      <c r="P52" s="21">
        <f>SUMIFS(Journal!$F$4:$F$9284,Journal!$C$4:$C$9284,P$8,Journal!$D$4:$D$9284,$B51)</f>
        <v>0</v>
      </c>
      <c r="Q52" s="21">
        <f>SUMIFS(Journal!$F$4:$F$9284,Journal!$C$4:$C$9284,Q$8,Journal!$D$4:$D$9284,$B51)</f>
        <v>0</v>
      </c>
      <c r="R52" s="21">
        <f>SUMIFS(Journal!$F$4:$F$9284,Journal!$C$4:$C$9284,R$8,Journal!$D$4:$D$9284,$B51)</f>
        <v>0</v>
      </c>
      <c r="S52" s="21">
        <f>SUMIFS(Journal!$F$4:$F$9284,Journal!$C$4:$C$9284,S$8,Journal!$D$4:$D$9284,$B51)</f>
        <v>0</v>
      </c>
      <c r="T52" s="21">
        <f>SUMIFS(Journal!$F$4:$F$9284,Journal!$C$4:$C$9284,T$8,Journal!$D$4:$D$9284,$B51)</f>
        <v>0</v>
      </c>
      <c r="U52" s="24" t="str">
        <f t="shared" si="4"/>
        <v/>
      </c>
    </row>
    <row r="53" spans="1:21" ht="15" customHeight="1" x14ac:dyDescent="0.25">
      <c r="A53" s="37"/>
      <c r="B53" s="39" t="str">
        <f>Base!G22</f>
        <v>37 Fonction recherche : mot-clé</v>
      </c>
      <c r="C53" s="18" t="str">
        <f>A$5</f>
        <v>Prévu</v>
      </c>
      <c r="D53" s="32"/>
      <c r="E53" s="32"/>
      <c r="F53" s="32"/>
      <c r="G53" s="32"/>
      <c r="H53" s="32"/>
      <c r="I53" s="32"/>
      <c r="J53" s="32"/>
      <c r="K53" s="32"/>
      <c r="L53" s="32">
        <v>8.3333333333333329E-2</v>
      </c>
      <c r="M53" s="32"/>
      <c r="N53" s="32"/>
      <c r="O53" s="32"/>
      <c r="P53" s="32"/>
      <c r="Q53" s="32"/>
      <c r="R53" s="32"/>
      <c r="S53" s="32"/>
      <c r="T53" s="32"/>
      <c r="U53" s="19">
        <f t="shared" si="4"/>
        <v>8.3333333333333329E-2</v>
      </c>
    </row>
    <row r="54" spans="1:21" ht="15" customHeight="1" thickBot="1" x14ac:dyDescent="0.3">
      <c r="A54" s="37"/>
      <c r="B54" s="27"/>
      <c r="C54" s="20" t="str">
        <f>A$6</f>
        <v>Réalisé</v>
      </c>
      <c r="D54" s="21">
        <f>SUMIFS(Journal!$F$4:$F$9284,Journal!$C$4:$C$9284,D$8,Journal!$D$4:$D$9284,$B53)</f>
        <v>0</v>
      </c>
      <c r="E54" s="21">
        <f>SUMIFS(Journal!$F$4:$F$9284,Journal!$C$4:$C$9284,E$8,Journal!$D$4:$D$9284,$B53)</f>
        <v>0</v>
      </c>
      <c r="F54" s="21">
        <f>SUMIFS(Journal!$F$4:$F$9284,Journal!$C$4:$C$9284,F$8,Journal!$D$4:$D$9284,$B53)</f>
        <v>0</v>
      </c>
      <c r="G54" s="21">
        <f>SUMIFS(Journal!$F$4:$F$9284,Journal!$C$4:$C$9284,G$8,Journal!$D$4:$D$9284,$B53)</f>
        <v>0</v>
      </c>
      <c r="H54" s="21">
        <f>SUMIFS(Journal!$F$4:$F$9284,Journal!$C$4:$C$9284,H$8,Journal!$D$4:$D$9284,$B53)</f>
        <v>0</v>
      </c>
      <c r="I54" s="21">
        <f>SUMIFS(Journal!$F$4:$F$9284,Journal!$C$4:$C$9284,I$8,Journal!$D$4:$D$9284,$B53)</f>
        <v>0</v>
      </c>
      <c r="J54" s="21">
        <f>SUMIFS(Journal!$F$4:$F$9284,Journal!$C$4:$C$9284,J$8,Journal!$D$4:$D$9284,$B53)</f>
        <v>0</v>
      </c>
      <c r="K54" s="21">
        <f>SUMIFS(Journal!$F$4:$F$9284,Journal!$C$4:$C$9284,K$8,Journal!$D$4:$D$9284,$B53)</f>
        <v>0</v>
      </c>
      <c r="L54" s="21">
        <f>SUMIFS(Journal!$F$4:$F$9284,Journal!$C$4:$C$9284,L$8,Journal!$D$4:$D$9284,$B53)</f>
        <v>0</v>
      </c>
      <c r="M54" s="21">
        <f>SUMIFS(Journal!$F$4:$F$9284,Journal!$C$4:$C$9284,M$8,Journal!$D$4:$D$9284,$B53)</f>
        <v>0</v>
      </c>
      <c r="N54" s="21">
        <f>SUMIFS(Journal!$F$4:$F$9284,Journal!$C$4:$C$9284,N$8,Journal!$D$4:$D$9284,$B53)</f>
        <v>0</v>
      </c>
      <c r="O54" s="21">
        <f>SUMIFS(Journal!$F$4:$F$9284,Journal!$C$4:$C$9284,O$8,Journal!$D$4:$D$9284,$B53)</f>
        <v>0</v>
      </c>
      <c r="P54" s="21">
        <f>SUMIFS(Journal!$F$4:$F$9284,Journal!$C$4:$C$9284,P$8,Journal!$D$4:$D$9284,$B53)</f>
        <v>0</v>
      </c>
      <c r="Q54" s="21">
        <f>SUMIFS(Journal!$F$4:$F$9284,Journal!$C$4:$C$9284,Q$8,Journal!$D$4:$D$9284,$B53)</f>
        <v>0</v>
      </c>
      <c r="R54" s="21">
        <f>SUMIFS(Journal!$F$4:$F$9284,Journal!$C$4:$C$9284,R$8,Journal!$D$4:$D$9284,$B53)</f>
        <v>0</v>
      </c>
      <c r="S54" s="21">
        <f>SUMIFS(Journal!$F$4:$F$9284,Journal!$C$4:$C$9284,S$8,Journal!$D$4:$D$9284,$B53)</f>
        <v>0</v>
      </c>
      <c r="T54" s="21">
        <f>SUMIFS(Journal!$F$4:$F$9284,Journal!$C$4:$C$9284,T$8,Journal!$D$4:$D$9284,$B53)</f>
        <v>0</v>
      </c>
      <c r="U54" s="24" t="str">
        <f t="shared" si="3"/>
        <v/>
      </c>
    </row>
    <row r="55" spans="1:21" ht="15" customHeight="1" x14ac:dyDescent="0.25">
      <c r="A55" s="37"/>
      <c r="B55" s="39" t="str">
        <f>Base!G23</f>
        <v>38 Historique de location</v>
      </c>
      <c r="C55" s="18" t="str">
        <f>A$5</f>
        <v>Prévu</v>
      </c>
      <c r="D55" s="32"/>
      <c r="E55" s="32"/>
      <c r="F55" s="32"/>
      <c r="G55" s="32"/>
      <c r="H55" s="32"/>
      <c r="I55" s="32"/>
      <c r="J55" s="32"/>
      <c r="K55" s="32"/>
      <c r="L55" s="32">
        <v>8.3333333333333329E-2</v>
      </c>
      <c r="M55" s="32"/>
      <c r="N55" s="32"/>
      <c r="O55" s="32"/>
      <c r="P55" s="32"/>
      <c r="Q55" s="32"/>
      <c r="R55" s="32"/>
      <c r="S55" s="32"/>
      <c r="T55" s="32"/>
      <c r="U55" s="19">
        <f t="shared" ref="U55:U56" si="5">IF(SUM(D55:T55)=0,"",SUM(D55:T55))</f>
        <v>8.3333333333333329E-2</v>
      </c>
    </row>
    <row r="56" spans="1:21" ht="15" customHeight="1" thickBot="1" x14ac:dyDescent="0.3">
      <c r="A56" s="37"/>
      <c r="B56" s="27"/>
      <c r="C56" s="20" t="str">
        <f>A$6</f>
        <v>Réalisé</v>
      </c>
      <c r="D56" s="21">
        <f>SUMIFS(Journal!$F$4:$F$9284,Journal!$C$4:$C$9284,D$8,Journal!$D$4:$D$9284,$B55)</f>
        <v>0</v>
      </c>
      <c r="E56" s="21">
        <f>SUMIFS(Journal!$F$4:$F$9284,Journal!$C$4:$C$9284,E$8,Journal!$D$4:$D$9284,$B55)</f>
        <v>0</v>
      </c>
      <c r="F56" s="21">
        <f>SUMIFS(Journal!$F$4:$F$9284,Journal!$C$4:$C$9284,F$8,Journal!$D$4:$D$9284,$B55)</f>
        <v>0</v>
      </c>
      <c r="G56" s="21">
        <f>SUMIFS(Journal!$F$4:$F$9284,Journal!$C$4:$C$9284,G$8,Journal!$D$4:$D$9284,$B55)</f>
        <v>0</v>
      </c>
      <c r="H56" s="21">
        <f>SUMIFS(Journal!$F$4:$F$9284,Journal!$C$4:$C$9284,H$8,Journal!$D$4:$D$9284,$B55)</f>
        <v>0</v>
      </c>
      <c r="I56" s="21">
        <f>SUMIFS(Journal!$F$4:$F$9284,Journal!$C$4:$C$9284,I$8,Journal!$D$4:$D$9284,$B55)</f>
        <v>0</v>
      </c>
      <c r="J56" s="21">
        <f>SUMIFS(Journal!$F$4:$F$9284,Journal!$C$4:$C$9284,J$8,Journal!$D$4:$D$9284,$B55)</f>
        <v>0</v>
      </c>
      <c r="K56" s="21">
        <f>SUMIFS(Journal!$F$4:$F$9284,Journal!$C$4:$C$9284,K$8,Journal!$D$4:$D$9284,$B55)</f>
        <v>0</v>
      </c>
      <c r="L56" s="21">
        <f>SUMIFS(Journal!$F$4:$F$9284,Journal!$C$4:$C$9284,L$8,Journal!$D$4:$D$9284,$B55)</f>
        <v>0</v>
      </c>
      <c r="M56" s="21">
        <f>SUMIFS(Journal!$F$4:$F$9284,Journal!$C$4:$C$9284,M$8,Journal!$D$4:$D$9284,$B55)</f>
        <v>0</v>
      </c>
      <c r="N56" s="21">
        <f>SUMIFS(Journal!$F$4:$F$9284,Journal!$C$4:$C$9284,N$8,Journal!$D$4:$D$9284,$B55)</f>
        <v>0</v>
      </c>
      <c r="O56" s="21">
        <f>SUMIFS(Journal!$F$4:$F$9284,Journal!$C$4:$C$9284,O$8,Journal!$D$4:$D$9284,$B55)</f>
        <v>0</v>
      </c>
      <c r="P56" s="21">
        <f>SUMIFS(Journal!$F$4:$F$9284,Journal!$C$4:$C$9284,P$8,Journal!$D$4:$D$9284,$B55)</f>
        <v>0</v>
      </c>
      <c r="Q56" s="21">
        <f>SUMIFS(Journal!$F$4:$F$9284,Journal!$C$4:$C$9284,Q$8,Journal!$D$4:$D$9284,$B55)</f>
        <v>0</v>
      </c>
      <c r="R56" s="21">
        <f>SUMIFS(Journal!$F$4:$F$9284,Journal!$C$4:$C$9284,R$8,Journal!$D$4:$D$9284,$B55)</f>
        <v>0</v>
      </c>
      <c r="S56" s="21">
        <f>SUMIFS(Journal!$F$4:$F$9284,Journal!$C$4:$C$9284,S$8,Journal!$D$4:$D$9284,$B55)</f>
        <v>0</v>
      </c>
      <c r="T56" s="21">
        <f>SUMIFS(Journal!$F$4:$F$9284,Journal!$C$4:$C$9284,T$8,Journal!$D$4:$D$9284,$B55)</f>
        <v>0</v>
      </c>
      <c r="U56" s="24" t="str">
        <f t="shared" si="5"/>
        <v/>
      </c>
    </row>
    <row r="57" spans="1:21" ht="15" customHeight="1" x14ac:dyDescent="0.25">
      <c r="A57" s="37"/>
      <c r="B57" s="39" t="str">
        <f>Base!G24</f>
        <v>39 Recherche : délai dépassé</v>
      </c>
      <c r="C57" s="18" t="str">
        <f>A$5</f>
        <v>Prévu</v>
      </c>
      <c r="D57" s="32"/>
      <c r="E57" s="32"/>
      <c r="F57" s="32"/>
      <c r="G57" s="32"/>
      <c r="H57" s="32"/>
      <c r="I57" s="32"/>
      <c r="J57" s="32"/>
      <c r="K57" s="32"/>
      <c r="L57" s="32">
        <v>8.3333333333333329E-2</v>
      </c>
      <c r="M57" s="32"/>
      <c r="N57" s="32"/>
      <c r="O57" s="32"/>
      <c r="P57" s="32"/>
      <c r="Q57" s="32"/>
      <c r="R57" s="32"/>
      <c r="S57" s="32"/>
      <c r="T57" s="32"/>
      <c r="U57" s="19">
        <f t="shared" si="3"/>
        <v>8.3333333333333329E-2</v>
      </c>
    </row>
    <row r="58" spans="1:21" ht="15" customHeight="1" thickBot="1" x14ac:dyDescent="0.3">
      <c r="A58" s="37"/>
      <c r="B58" s="27"/>
      <c r="C58" s="20" t="str">
        <f>A$6</f>
        <v>Réalisé</v>
      </c>
      <c r="D58" s="21">
        <f>SUMIFS(Journal!$F$4:$F$9284,Journal!$C$4:$C$9284,D$8,Journal!$D$4:$D$9284,$B57)</f>
        <v>0</v>
      </c>
      <c r="E58" s="21">
        <f>SUMIFS(Journal!$F$4:$F$9284,Journal!$C$4:$C$9284,E$8,Journal!$D$4:$D$9284,$B57)</f>
        <v>0</v>
      </c>
      <c r="F58" s="21">
        <f>SUMIFS(Journal!$F$4:$F$9284,Journal!$C$4:$C$9284,F$8,Journal!$D$4:$D$9284,$B57)</f>
        <v>0</v>
      </c>
      <c r="G58" s="21">
        <f>SUMIFS(Journal!$F$4:$F$9284,Journal!$C$4:$C$9284,G$8,Journal!$D$4:$D$9284,$B57)</f>
        <v>0</v>
      </c>
      <c r="H58" s="21">
        <f>SUMIFS(Journal!$F$4:$F$9284,Journal!$C$4:$C$9284,H$8,Journal!$D$4:$D$9284,$B57)</f>
        <v>0</v>
      </c>
      <c r="I58" s="21">
        <f>SUMIFS(Journal!$F$4:$F$9284,Journal!$C$4:$C$9284,I$8,Journal!$D$4:$D$9284,$B57)</f>
        <v>0</v>
      </c>
      <c r="J58" s="21">
        <f>SUMIFS(Journal!$F$4:$F$9284,Journal!$C$4:$C$9284,J$8,Journal!$D$4:$D$9284,$B57)</f>
        <v>0</v>
      </c>
      <c r="K58" s="21">
        <f>SUMIFS(Journal!$F$4:$F$9284,Journal!$C$4:$C$9284,K$8,Journal!$D$4:$D$9284,$B57)</f>
        <v>0</v>
      </c>
      <c r="L58" s="21">
        <f>SUMIFS(Journal!$F$4:$F$9284,Journal!$C$4:$C$9284,L$8,Journal!$D$4:$D$9284,$B57)</f>
        <v>0</v>
      </c>
      <c r="M58" s="21">
        <f>SUMIFS(Journal!$F$4:$F$9284,Journal!$C$4:$C$9284,M$8,Journal!$D$4:$D$9284,$B57)</f>
        <v>0</v>
      </c>
      <c r="N58" s="21">
        <f>SUMIFS(Journal!$F$4:$F$9284,Journal!$C$4:$C$9284,N$8,Journal!$D$4:$D$9284,$B57)</f>
        <v>0</v>
      </c>
      <c r="O58" s="21">
        <f>SUMIFS(Journal!$F$4:$F$9284,Journal!$C$4:$C$9284,O$8,Journal!$D$4:$D$9284,$B57)</f>
        <v>0</v>
      </c>
      <c r="P58" s="21">
        <f>SUMIFS(Journal!$F$4:$F$9284,Journal!$C$4:$C$9284,P$8,Journal!$D$4:$D$9284,$B57)</f>
        <v>0</v>
      </c>
      <c r="Q58" s="21">
        <f>SUMIFS(Journal!$F$4:$F$9284,Journal!$C$4:$C$9284,Q$8,Journal!$D$4:$D$9284,$B57)</f>
        <v>0</v>
      </c>
      <c r="R58" s="21">
        <f>SUMIFS(Journal!$F$4:$F$9284,Journal!$C$4:$C$9284,R$8,Journal!$D$4:$D$9284,$B57)</f>
        <v>0</v>
      </c>
      <c r="S58" s="21">
        <f>SUMIFS(Journal!$F$4:$F$9284,Journal!$C$4:$C$9284,S$8,Journal!$D$4:$D$9284,$B57)</f>
        <v>0</v>
      </c>
      <c r="T58" s="21">
        <f>SUMIFS(Journal!$F$4:$F$9284,Journal!$C$4:$C$9284,T$8,Journal!$D$4:$D$9284,$B57)</f>
        <v>0</v>
      </c>
      <c r="U58" s="24" t="str">
        <f t="shared" si="3"/>
        <v/>
      </c>
    </row>
    <row r="59" spans="1:21" ht="20.25" customHeight="1" x14ac:dyDescent="0.25">
      <c r="A59" s="226" t="str">
        <f>Base!F25</f>
        <v>4 Tests</v>
      </c>
      <c r="B59" s="227"/>
      <c r="C59" s="227"/>
      <c r="D59" s="227"/>
      <c r="E59" s="227"/>
      <c r="F59" s="227"/>
      <c r="G59" s="227"/>
      <c r="H59" s="227"/>
      <c r="I59" s="227"/>
      <c r="J59" s="227"/>
      <c r="K59" s="227"/>
      <c r="L59" s="227"/>
      <c r="M59" s="227"/>
      <c r="N59" s="227"/>
      <c r="O59" s="227"/>
      <c r="P59" s="227"/>
      <c r="Q59" s="227"/>
      <c r="R59" s="227"/>
      <c r="S59" s="227"/>
      <c r="T59" s="227"/>
      <c r="U59" s="16">
        <f>SUMIF($C61:$C72,$C61,U61:U72)</f>
        <v>0.52083333333333326</v>
      </c>
    </row>
    <row r="60" spans="1:21" ht="15" customHeight="1" thickBot="1" x14ac:dyDescent="0.3">
      <c r="A60" s="228"/>
      <c r="B60" s="229"/>
      <c r="C60" s="229"/>
      <c r="D60" s="229"/>
      <c r="E60" s="229"/>
      <c r="F60" s="229"/>
      <c r="G60" s="229"/>
      <c r="H60" s="229"/>
      <c r="I60" s="229"/>
      <c r="J60" s="229"/>
      <c r="K60" s="229"/>
      <c r="L60" s="229"/>
      <c r="M60" s="229"/>
      <c r="N60" s="229"/>
      <c r="O60" s="229"/>
      <c r="P60" s="229"/>
      <c r="Q60" s="229"/>
      <c r="R60" s="229"/>
      <c r="S60" s="229"/>
      <c r="T60" s="229"/>
      <c r="U60" s="17">
        <f>SUMIF($C61:$C72,$C62,U61:U72)</f>
        <v>0</v>
      </c>
    </row>
    <row r="61" spans="1:21" s="26" customFormat="1" ht="15" customHeight="1" x14ac:dyDescent="0.25">
      <c r="A61" s="38"/>
      <c r="B61" s="39" t="str">
        <f>Base!G25</f>
        <v>41 Tests unitaires</v>
      </c>
      <c r="C61" s="18" t="str">
        <f>A$5</f>
        <v>Prévu</v>
      </c>
      <c r="D61" s="32"/>
      <c r="E61" s="32"/>
      <c r="F61" s="32"/>
      <c r="G61" s="32"/>
      <c r="H61" s="32">
        <v>4.1666666666666664E-2</v>
      </c>
      <c r="I61" s="32"/>
      <c r="J61" s="32"/>
      <c r="K61" s="32"/>
      <c r="L61" s="32">
        <v>4.1666666666666664E-2</v>
      </c>
      <c r="M61" s="32"/>
      <c r="N61" s="32">
        <v>8.3333333333333329E-2</v>
      </c>
      <c r="O61" s="32"/>
      <c r="P61" s="32">
        <v>4.1666666666666664E-2</v>
      </c>
      <c r="Q61" s="32"/>
      <c r="R61" s="32"/>
      <c r="S61" s="32"/>
      <c r="T61" s="32"/>
      <c r="U61" s="19">
        <f t="shared" ref="U61:U72" si="6">IF(SUM(D61:T61)=0,"",SUM(D61:T61))</f>
        <v>0.20833333333333331</v>
      </c>
    </row>
    <row r="62" spans="1:21" s="26" customFormat="1" ht="15" customHeight="1" thickBot="1" x14ac:dyDescent="0.3">
      <c r="A62" s="38"/>
      <c r="B62" s="27"/>
      <c r="C62" s="20" t="str">
        <f>A$6</f>
        <v>Réalisé</v>
      </c>
      <c r="D62" s="21">
        <f>SUMIFS(Journal!$F$4:$F$9284,Journal!$C$4:$C$9284,D$8,Journal!$D$4:$D$9284,$B61)</f>
        <v>0</v>
      </c>
      <c r="E62" s="21"/>
      <c r="F62" s="21">
        <f>SUMIFS(Journal!$F$4:$F$9284,Journal!$C$4:$C$9284,F$8,Journal!$D$4:$D$9284,$B61)</f>
        <v>0</v>
      </c>
      <c r="G62" s="21"/>
      <c r="H62" s="21">
        <f>SUMIFS(Journal!$F$4:$F$9284,Journal!$C$4:$C$9284,H$8,Journal!$D$4:$D$9284,$B61)</f>
        <v>0</v>
      </c>
      <c r="I62" s="21"/>
      <c r="J62" s="21">
        <f>SUMIFS(Journal!$F$4:$F$9284,Journal!$C$4:$C$9284,J$8,Journal!$D$4:$D$9284,$B61)</f>
        <v>0</v>
      </c>
      <c r="K62" s="21"/>
      <c r="L62" s="21">
        <f>SUMIFS(Journal!$F$4:$F$9284,Journal!$C$4:$C$9284,L$8,Journal!$D$4:$D$9284,$B61)</f>
        <v>0</v>
      </c>
      <c r="M62" s="21"/>
      <c r="N62" s="21">
        <f>SUMIFS(Journal!$F$4:$F$9284,Journal!$C$4:$C$9284,N$8,Journal!$D$4:$D$9284,$B61)</f>
        <v>0</v>
      </c>
      <c r="O62" s="21"/>
      <c r="P62" s="21">
        <f>SUMIFS(Journal!$F$4:$F$9284,Journal!$C$4:$C$9284,P$8,Journal!$D$4:$D$9284,$B61)</f>
        <v>0</v>
      </c>
      <c r="Q62" s="21"/>
      <c r="R62" s="21">
        <f>SUMIFS(Journal!$F$4:$F$9284,Journal!$C$4:$C$9284,R$8,Journal!$D$4:$D$9284,$B61)</f>
        <v>0</v>
      </c>
      <c r="S62" s="21"/>
      <c r="T62" s="21">
        <f>SUMIFS(Journal!$F$4:$F$9284,Journal!$C$4:$C$9284,T$8,Journal!$D$4:$D$9284,$B61)</f>
        <v>0</v>
      </c>
      <c r="U62" s="24" t="str">
        <f t="shared" si="6"/>
        <v/>
      </c>
    </row>
    <row r="63" spans="1:21" ht="15" customHeight="1" x14ac:dyDescent="0.25">
      <c r="A63" s="37"/>
      <c r="B63" s="39" t="str">
        <f>Base!G26</f>
        <v>42 Tests d'intégration</v>
      </c>
      <c r="C63" s="18" t="str">
        <f>A$5</f>
        <v>Prévu</v>
      </c>
      <c r="D63" s="32"/>
      <c r="E63" s="32"/>
      <c r="F63" s="32"/>
      <c r="G63" s="32"/>
      <c r="H63" s="32"/>
      <c r="I63" s="32"/>
      <c r="J63" s="32"/>
      <c r="K63" s="32"/>
      <c r="L63" s="32"/>
      <c r="M63" s="32"/>
      <c r="N63" s="32">
        <v>4.1666666666666664E-2</v>
      </c>
      <c r="O63" s="32"/>
      <c r="P63" s="32">
        <v>8.3333333333333329E-2</v>
      </c>
      <c r="Q63" s="32"/>
      <c r="R63" s="32"/>
      <c r="S63" s="32"/>
      <c r="T63" s="32"/>
      <c r="U63" s="19">
        <f t="shared" si="6"/>
        <v>0.125</v>
      </c>
    </row>
    <row r="64" spans="1:21" ht="15" customHeight="1" thickBot="1" x14ac:dyDescent="0.3">
      <c r="A64" s="37"/>
      <c r="B64" s="27"/>
      <c r="C64" s="20" t="str">
        <f>A$6</f>
        <v>Réalisé</v>
      </c>
      <c r="D64" s="21">
        <f>SUMIFS(Journal!$F$4:$F$9284,Journal!$C$4:$C$9284,D$8,Journal!$D$4:$D$9284,$B63)</f>
        <v>0</v>
      </c>
      <c r="E64" s="21"/>
      <c r="F64" s="21">
        <f>SUMIFS(Journal!$F$4:$F$9284,Journal!$C$4:$C$9284,F$8,Journal!$D$4:$D$9284,$B63)</f>
        <v>0</v>
      </c>
      <c r="G64" s="21"/>
      <c r="H64" s="21">
        <f>SUMIFS(Journal!$F$4:$F$9284,Journal!$C$4:$C$9284,H$8,Journal!$D$4:$D$9284,$B63)</f>
        <v>0</v>
      </c>
      <c r="I64" s="21"/>
      <c r="J64" s="21">
        <f>SUMIFS(Journal!$F$4:$F$9284,Journal!$C$4:$C$9284,J$8,Journal!$D$4:$D$9284,$B63)</f>
        <v>0</v>
      </c>
      <c r="K64" s="21"/>
      <c r="L64" s="21">
        <f>SUMIFS(Journal!$F$4:$F$9284,Journal!$C$4:$C$9284,L$8,Journal!$D$4:$D$9284,$B63)</f>
        <v>0</v>
      </c>
      <c r="M64" s="21"/>
      <c r="N64" s="21">
        <f>SUMIFS(Journal!$F$4:$F$9284,Journal!$C$4:$C$9284,N$8,Journal!$D$4:$D$9284,$B63)</f>
        <v>0</v>
      </c>
      <c r="O64" s="21"/>
      <c r="P64" s="21">
        <f>SUMIFS(Journal!$F$4:$F$9284,Journal!$C$4:$C$9284,P$8,Journal!$D$4:$D$9284,$B63)</f>
        <v>0</v>
      </c>
      <c r="Q64" s="21"/>
      <c r="R64" s="21">
        <f>SUMIFS(Journal!$F$4:$F$9284,Journal!$C$4:$C$9284,R$8,Journal!$D$4:$D$9284,$B63)</f>
        <v>0</v>
      </c>
      <c r="S64" s="21"/>
      <c r="T64" s="21"/>
      <c r="U64" s="24" t="str">
        <f t="shared" si="6"/>
        <v/>
      </c>
    </row>
    <row r="65" spans="1:21" ht="15" customHeight="1" x14ac:dyDescent="0.25">
      <c r="A65" s="37"/>
      <c r="B65" s="39" t="str">
        <f>Base!G27</f>
        <v>43 Tests fonctionnels</v>
      </c>
      <c r="C65" s="18" t="str">
        <f>A$5</f>
        <v>Prévu</v>
      </c>
      <c r="D65" s="32"/>
      <c r="E65" s="32"/>
      <c r="F65" s="32"/>
      <c r="G65" s="32"/>
      <c r="H65" s="32"/>
      <c r="I65" s="32"/>
      <c r="J65" s="32"/>
      <c r="K65" s="32"/>
      <c r="L65" s="32"/>
      <c r="M65" s="32"/>
      <c r="N65" s="32">
        <v>4.1666666666666664E-2</v>
      </c>
      <c r="O65" s="32"/>
      <c r="P65" s="32">
        <v>6.25E-2</v>
      </c>
      <c r="Q65" s="32"/>
      <c r="R65" s="32">
        <v>8.3333333333333329E-2</v>
      </c>
      <c r="S65" s="32"/>
      <c r="T65" s="32"/>
      <c r="U65" s="19">
        <f t="shared" si="6"/>
        <v>0.1875</v>
      </c>
    </row>
    <row r="66" spans="1:21" ht="15" customHeight="1" thickBot="1" x14ac:dyDescent="0.3">
      <c r="A66" s="37"/>
      <c r="B66" s="27"/>
      <c r="C66" s="20" t="str">
        <f>A$6</f>
        <v>Réalisé</v>
      </c>
      <c r="D66" s="21">
        <f>SUMIFS(Journal!$F$4:$F$9284,Journal!$C$4:$C$9284,D$8,Journal!$D$4:$D$9284,$B65)</f>
        <v>0</v>
      </c>
      <c r="E66" s="21"/>
      <c r="F66" s="21">
        <f>SUMIFS(Journal!$F$4:$F$9284,Journal!$C$4:$C$9284,F$8,Journal!$D$4:$D$9284,$B65)</f>
        <v>0</v>
      </c>
      <c r="G66" s="21"/>
      <c r="H66" s="21">
        <f>SUMIFS(Journal!$F$4:$F$9284,Journal!$C$4:$C$9284,H$8,Journal!$D$4:$D$9284,$B65)</f>
        <v>0</v>
      </c>
      <c r="I66" s="21"/>
      <c r="J66" s="21">
        <f>SUMIFS(Journal!$F$4:$F$9284,Journal!$C$4:$C$9284,J$8,Journal!$D$4:$D$9284,$B65)</f>
        <v>0</v>
      </c>
      <c r="K66" s="21"/>
      <c r="L66" s="21">
        <f>SUMIFS(Journal!$F$4:$F$9284,Journal!$C$4:$C$9284,L$8,Journal!$D$4:$D$9284,$B65)</f>
        <v>0</v>
      </c>
      <c r="M66" s="21"/>
      <c r="N66" s="21">
        <f>SUMIFS(Journal!$F$4:$F$9284,Journal!$C$4:$C$9284,N$8,Journal!$D$4:$D$9284,$B65)</f>
        <v>0</v>
      </c>
      <c r="O66" s="21"/>
      <c r="P66" s="21">
        <f>SUMIFS(Journal!$F$4:$F$9284,Journal!$C$4:$C$9284,P$8,Journal!$D$4:$D$9284,$B65)</f>
        <v>0</v>
      </c>
      <c r="Q66" s="21"/>
      <c r="R66" s="21">
        <f>SUMIFS(Journal!$F$4:$F$9284,Journal!$C$4:$C$9284,R$8,Journal!$D$4:$D$9284,$B65)</f>
        <v>0</v>
      </c>
      <c r="S66" s="21"/>
      <c r="T66" s="21">
        <f>SUMIFS(Journal!$F$4:$F$9284,Journal!$C$4:$C$9284,T$8,Journal!$D$4:$D$9284,$B65)</f>
        <v>0</v>
      </c>
      <c r="U66" s="24" t="str">
        <f t="shared" si="6"/>
        <v/>
      </c>
    </row>
    <row r="67" spans="1:21" ht="15" customHeight="1" x14ac:dyDescent="0.25">
      <c r="A67" s="37"/>
      <c r="B67" s="39" t="str">
        <f>Base!G28</f>
        <v>44 -</v>
      </c>
      <c r="C67" s="18" t="str">
        <f>A$5</f>
        <v>Prévu</v>
      </c>
      <c r="D67" s="32"/>
      <c r="E67" s="32"/>
      <c r="F67" s="32"/>
      <c r="G67" s="32"/>
      <c r="H67" s="32"/>
      <c r="I67" s="32"/>
      <c r="J67" s="32"/>
      <c r="K67" s="32"/>
      <c r="L67" s="32"/>
      <c r="M67" s="32"/>
      <c r="N67" s="32"/>
      <c r="O67" s="32"/>
      <c r="P67" s="32"/>
      <c r="Q67" s="32"/>
      <c r="R67" s="32"/>
      <c r="S67" s="32"/>
      <c r="T67" s="32"/>
      <c r="U67" s="19" t="str">
        <f t="shared" si="6"/>
        <v/>
      </c>
    </row>
    <row r="68" spans="1:21" ht="15" customHeight="1" thickBot="1" x14ac:dyDescent="0.3">
      <c r="A68" s="37"/>
      <c r="B68" s="27"/>
      <c r="C68" s="20" t="str">
        <f>A$6</f>
        <v>Réalisé</v>
      </c>
      <c r="D68" s="21">
        <f>SUMIFS(Journal!$F$4:$F$9284,Journal!$C$4:$C$9284,D$8,Journal!$D$4:$D$9284,$B67)</f>
        <v>0</v>
      </c>
      <c r="E68" s="21"/>
      <c r="F68" s="21">
        <f>SUMIFS(Journal!$F$4:$F$9284,Journal!$C$4:$C$9284,F$8,Journal!$D$4:$D$9284,$B67)</f>
        <v>0</v>
      </c>
      <c r="G68" s="21"/>
      <c r="H68" s="21">
        <f>SUMIFS(Journal!$F$4:$F$9284,Journal!$C$4:$C$9284,H$8,Journal!$D$4:$D$9284,$B67)</f>
        <v>0</v>
      </c>
      <c r="I68" s="21"/>
      <c r="J68" s="21">
        <f>SUMIFS(Journal!$F$4:$F$9284,Journal!$C$4:$C$9284,J$8,Journal!$D$4:$D$9284,$B67)</f>
        <v>0</v>
      </c>
      <c r="K68" s="21"/>
      <c r="L68" s="21">
        <f>SUMIFS(Journal!$F$4:$F$9284,Journal!$C$4:$C$9284,L$8,Journal!$D$4:$D$9284,$B67)</f>
        <v>0</v>
      </c>
      <c r="M68" s="21"/>
      <c r="N68" s="21">
        <f>SUMIFS(Journal!$F$4:$F$9284,Journal!$C$4:$C$9284,N$8,Journal!$D$4:$D$9284,$B67)</f>
        <v>0</v>
      </c>
      <c r="O68" s="21"/>
      <c r="P68" s="21">
        <f>SUMIFS(Journal!$F$4:$F$9284,Journal!$C$4:$C$9284,P$8,Journal!$D$4:$D$9284,$B67)</f>
        <v>0</v>
      </c>
      <c r="Q68" s="21"/>
      <c r="R68" s="21">
        <f>SUMIFS(Journal!$F$4:$F$9284,Journal!$C$4:$C$9284,R$8,Journal!$D$4:$D$9284,$B67)</f>
        <v>0</v>
      </c>
      <c r="S68" s="21"/>
      <c r="T68" s="21">
        <f>SUMIFS(Journal!$F$4:$F$9284,Journal!$C$4:$C$9284,T$8,Journal!$D$4:$D$9284,$B67)</f>
        <v>0</v>
      </c>
      <c r="U68" s="24" t="str">
        <f t="shared" si="6"/>
        <v/>
      </c>
    </row>
    <row r="69" spans="1:21" ht="15" customHeight="1" x14ac:dyDescent="0.25">
      <c r="A69" s="37"/>
      <c r="B69" s="39" t="str">
        <f>Base!G29</f>
        <v>45 -</v>
      </c>
      <c r="C69" s="18" t="str">
        <f>A$5</f>
        <v>Prévu</v>
      </c>
      <c r="D69" s="32"/>
      <c r="E69" s="32"/>
      <c r="F69" s="32"/>
      <c r="G69" s="32"/>
      <c r="H69" s="32"/>
      <c r="I69" s="32"/>
      <c r="J69" s="32"/>
      <c r="K69" s="32"/>
      <c r="L69" s="32"/>
      <c r="M69" s="32"/>
      <c r="N69" s="32"/>
      <c r="O69" s="32"/>
      <c r="P69" s="32"/>
      <c r="Q69" s="32"/>
      <c r="R69" s="32"/>
      <c r="S69" s="32"/>
      <c r="T69" s="32"/>
      <c r="U69" s="19" t="str">
        <f t="shared" si="6"/>
        <v/>
      </c>
    </row>
    <row r="70" spans="1:21" ht="15" customHeight="1" thickBot="1" x14ac:dyDescent="0.3">
      <c r="A70" s="37"/>
      <c r="B70" s="27"/>
      <c r="C70" s="20" t="str">
        <f>A$6</f>
        <v>Réalisé</v>
      </c>
      <c r="D70" s="21">
        <f>SUMIFS(Journal!$F$4:$F$9284,Journal!$C$4:$C$9284,D$8,Journal!$D$4:$D$9284,$B69)</f>
        <v>0</v>
      </c>
      <c r="E70" s="21"/>
      <c r="F70" s="21">
        <f>SUMIFS(Journal!$F$4:$F$9284,Journal!$C$4:$C$9284,F$8,Journal!$D$4:$D$9284,$B69)</f>
        <v>0</v>
      </c>
      <c r="G70" s="21"/>
      <c r="H70" s="21">
        <f>SUMIFS(Journal!$F$4:$F$9284,Journal!$C$4:$C$9284,H$8,Journal!$D$4:$D$9284,$B69)</f>
        <v>0</v>
      </c>
      <c r="I70" s="21"/>
      <c r="J70" s="21">
        <f>SUMIFS(Journal!$F$4:$F$9284,Journal!$C$4:$C$9284,J$8,Journal!$D$4:$D$9284,$B69)</f>
        <v>0</v>
      </c>
      <c r="K70" s="21"/>
      <c r="L70" s="21">
        <f>SUMIFS(Journal!$F$4:$F$9284,Journal!$C$4:$C$9284,L$8,Journal!$D$4:$D$9284,$B69)</f>
        <v>0</v>
      </c>
      <c r="M70" s="21"/>
      <c r="N70" s="21">
        <f>SUMIFS(Journal!$F$4:$F$9284,Journal!$C$4:$C$9284,N$8,Journal!$D$4:$D$9284,$B69)</f>
        <v>0</v>
      </c>
      <c r="O70" s="21"/>
      <c r="P70" s="21">
        <f>SUMIFS(Journal!$F$4:$F$9284,Journal!$C$4:$C$9284,P$8,Journal!$D$4:$D$9284,$B69)</f>
        <v>0</v>
      </c>
      <c r="Q70" s="21"/>
      <c r="R70" s="21">
        <f>SUMIFS(Journal!$F$4:$F$9284,Journal!$C$4:$C$9284,R$8,Journal!$D$4:$D$9284,$B69)</f>
        <v>0</v>
      </c>
      <c r="S70" s="21"/>
      <c r="T70" s="21">
        <f>SUMIFS(Journal!$F$4:$F$9284,Journal!$C$4:$C$9284,T$8,Journal!$D$4:$D$9284,$B69)</f>
        <v>0</v>
      </c>
      <c r="U70" s="24" t="str">
        <f t="shared" si="6"/>
        <v/>
      </c>
    </row>
    <row r="71" spans="1:21" ht="15" customHeight="1" x14ac:dyDescent="0.25">
      <c r="A71" s="37"/>
      <c r="B71" s="39" t="str">
        <f>Base!G30</f>
        <v>46 -</v>
      </c>
      <c r="C71" s="18" t="str">
        <f>A$5</f>
        <v>Prévu</v>
      </c>
      <c r="D71" s="32"/>
      <c r="E71" s="32"/>
      <c r="F71" s="32"/>
      <c r="G71" s="32"/>
      <c r="H71" s="32"/>
      <c r="I71" s="32"/>
      <c r="J71" s="32"/>
      <c r="K71" s="32"/>
      <c r="L71" s="32"/>
      <c r="M71" s="32"/>
      <c r="N71" s="32"/>
      <c r="O71" s="32"/>
      <c r="P71" s="32"/>
      <c r="Q71" s="32"/>
      <c r="R71" s="32"/>
      <c r="S71" s="32"/>
      <c r="T71" s="32"/>
      <c r="U71" s="19" t="str">
        <f t="shared" si="6"/>
        <v/>
      </c>
    </row>
    <row r="72" spans="1:21" ht="15" customHeight="1" thickBot="1" x14ac:dyDescent="0.3">
      <c r="A72" s="37"/>
      <c r="B72" s="27"/>
      <c r="C72" s="20" t="str">
        <f>A$6</f>
        <v>Réalisé</v>
      </c>
      <c r="D72" s="21">
        <f>SUMIFS(Journal!$F$4:$F$9284,Journal!$C$4:$C$9284,D$8,Journal!$D$4:$D$9284,$B71)</f>
        <v>0</v>
      </c>
      <c r="E72" s="21"/>
      <c r="F72" s="21">
        <f>SUMIFS(Journal!$F$4:$F$9284,Journal!$C$4:$C$9284,F$8,Journal!$D$4:$D$9284,$B71)</f>
        <v>0</v>
      </c>
      <c r="G72" s="21"/>
      <c r="H72" s="21">
        <f>SUMIFS(Journal!$F$4:$F$9284,Journal!$C$4:$C$9284,H$8,Journal!$D$4:$D$9284,$B71)</f>
        <v>0</v>
      </c>
      <c r="I72" s="21"/>
      <c r="J72" s="21">
        <f>SUMIFS(Journal!$F$4:$F$9284,Journal!$C$4:$C$9284,J$8,Journal!$D$4:$D$9284,$B71)</f>
        <v>0</v>
      </c>
      <c r="K72" s="21"/>
      <c r="L72" s="21">
        <f>SUMIFS(Journal!$F$4:$F$9284,Journal!$C$4:$C$9284,L$8,Journal!$D$4:$D$9284,$B71)</f>
        <v>0</v>
      </c>
      <c r="M72" s="21"/>
      <c r="N72" s="21">
        <f>SUMIFS(Journal!$F$4:$F$9284,Journal!$C$4:$C$9284,N$8,Journal!$D$4:$D$9284,$B71)</f>
        <v>0</v>
      </c>
      <c r="O72" s="21"/>
      <c r="P72" s="21">
        <f>SUMIFS(Journal!$F$4:$F$9284,Journal!$C$4:$C$9284,P$8,Journal!$D$4:$D$9284,$B71)</f>
        <v>0</v>
      </c>
      <c r="Q72" s="21"/>
      <c r="R72" s="21">
        <f>SUMIFS(Journal!$F$4:$F$9284,Journal!$C$4:$C$9284,R$8,Journal!$D$4:$D$9284,$B71)</f>
        <v>0</v>
      </c>
      <c r="S72" s="21"/>
      <c r="T72" s="21">
        <f>SUMIFS(Journal!$F$4:$F$9284,Journal!$C$4:$C$9284,T$8,Journal!$D$4:$D$9284,$B71)</f>
        <v>0</v>
      </c>
      <c r="U72" s="24" t="str">
        <f t="shared" si="6"/>
        <v/>
      </c>
    </row>
    <row r="73" spans="1:21" ht="20.25" customHeight="1" x14ac:dyDescent="0.25">
      <c r="A73" s="203" t="str">
        <f>Base!F31</f>
        <v>5 Documentation</v>
      </c>
      <c r="B73" s="204"/>
      <c r="C73" s="204"/>
      <c r="D73" s="204"/>
      <c r="E73" s="204"/>
      <c r="F73" s="204"/>
      <c r="G73" s="204"/>
      <c r="H73" s="204"/>
      <c r="I73" s="204"/>
      <c r="J73" s="204"/>
      <c r="K73" s="204"/>
      <c r="L73" s="204"/>
      <c r="M73" s="204"/>
      <c r="N73" s="204"/>
      <c r="O73" s="204"/>
      <c r="P73" s="204"/>
      <c r="Q73" s="204"/>
      <c r="R73" s="204"/>
      <c r="S73" s="204"/>
      <c r="T73" s="204"/>
      <c r="U73" s="16">
        <f>SUMIF($C75:$C86,$C75,U75:U86)</f>
        <v>0.82638888888888884</v>
      </c>
    </row>
    <row r="74" spans="1:21" ht="15" customHeight="1" thickBot="1" x14ac:dyDescent="0.3">
      <c r="A74" s="205"/>
      <c r="B74" s="206"/>
      <c r="C74" s="206"/>
      <c r="D74" s="206"/>
      <c r="E74" s="206"/>
      <c r="F74" s="206"/>
      <c r="G74" s="206"/>
      <c r="H74" s="206"/>
      <c r="I74" s="206"/>
      <c r="J74" s="206"/>
      <c r="K74" s="206"/>
      <c r="L74" s="206"/>
      <c r="M74" s="206"/>
      <c r="N74" s="206"/>
      <c r="O74" s="206"/>
      <c r="P74" s="206"/>
      <c r="Q74" s="206"/>
      <c r="R74" s="206"/>
      <c r="S74" s="206"/>
      <c r="T74" s="206"/>
      <c r="U74" s="17">
        <f>SUMIF($C75:$C86,$C76,U75:U86)</f>
        <v>0.14930555555555555</v>
      </c>
    </row>
    <row r="75" spans="1:21" ht="15" customHeight="1" x14ac:dyDescent="0.25">
      <c r="A75" s="37"/>
      <c r="B75" s="39" t="str">
        <f>Base!G31</f>
        <v>51 Rapport de pré-TPI</v>
      </c>
      <c r="C75" s="18" t="str">
        <f>A$5</f>
        <v>Prévu</v>
      </c>
      <c r="D75" s="32">
        <v>4.1666666666666664E-2</v>
      </c>
      <c r="E75" s="32"/>
      <c r="F75" s="32">
        <v>4.1666666666666664E-2</v>
      </c>
      <c r="G75" s="32"/>
      <c r="H75" s="32">
        <v>4.1666666666666664E-2</v>
      </c>
      <c r="I75" s="32"/>
      <c r="J75" s="32"/>
      <c r="K75" s="32"/>
      <c r="L75" s="32">
        <v>4.1666666666666664E-2</v>
      </c>
      <c r="M75" s="32"/>
      <c r="N75" s="32">
        <v>4.1666666666666664E-2</v>
      </c>
      <c r="O75" s="32"/>
      <c r="P75" s="32">
        <v>4.1666666666666664E-2</v>
      </c>
      <c r="Q75" s="32"/>
      <c r="R75" s="32">
        <v>8.3333333333333329E-2</v>
      </c>
      <c r="S75" s="32"/>
      <c r="T75" s="32">
        <v>8.3333333333333329E-2</v>
      </c>
      <c r="U75" s="19">
        <f t="shared" ref="U75:U86" si="7">IF(SUM(D75:T75)=0,"",SUM(D75:T75))</f>
        <v>0.41666666666666663</v>
      </c>
    </row>
    <row r="76" spans="1:21" ht="15" customHeight="1" thickBot="1" x14ac:dyDescent="0.3">
      <c r="A76" s="37"/>
      <c r="B76" s="27"/>
      <c r="C76" s="20" t="str">
        <f>A$6</f>
        <v>Réalisé</v>
      </c>
      <c r="D76" s="21">
        <f>SUMIFS(Journal!$F$4:$F$9284,Journal!$C$4:$C$9284,D$8,Journal!$D$4:$D$9284,$B75)</f>
        <v>3.125E-2</v>
      </c>
      <c r="E76" s="21"/>
      <c r="F76" s="21">
        <f>SUMIFS(Journal!$F$4:$F$9284,Journal!$C$4:$C$9284,F$8,Journal!$D$4:$D$9284,$B75)</f>
        <v>0.10069444444444445</v>
      </c>
      <c r="G76" s="21"/>
      <c r="H76" s="21">
        <f>SUMIFS(Journal!$F$4:$F$9284,Journal!$C$4:$C$9284,H$8,Journal!$D$4:$D$9284,$B75)</f>
        <v>0</v>
      </c>
      <c r="I76" s="21"/>
      <c r="J76" s="21">
        <f>SUMIFS(Journal!$F$4:$F$9284,Journal!$C$4:$C$9284,J$8,Journal!$D$4:$D$9284,$B75)</f>
        <v>0</v>
      </c>
      <c r="K76" s="21"/>
      <c r="L76" s="21">
        <f>SUMIFS(Journal!$F$4:$F$9284,Journal!$C$4:$C$9284,L$8,Journal!$D$4:$D$9284,$B75)</f>
        <v>0</v>
      </c>
      <c r="M76" s="21"/>
      <c r="N76" s="21">
        <f>SUMIFS(Journal!$F$4:$F$9284,Journal!$C$4:$C$9284,N$8,Journal!$D$4:$D$9284,$B75)</f>
        <v>0</v>
      </c>
      <c r="O76" s="21"/>
      <c r="P76" s="21">
        <f>SUMIFS(Journal!$F$4:$F$9284,Journal!$C$4:$C$9284,P$8,Journal!$D$4:$D$9284,$B75)</f>
        <v>0</v>
      </c>
      <c r="Q76" s="21"/>
      <c r="R76" s="21">
        <f>SUMIFS(Journal!$F$4:$F$9284,Journal!$C$4:$C$9284,R$8,Journal!$D$4:$D$9284,$B75)</f>
        <v>0</v>
      </c>
      <c r="S76" s="21"/>
      <c r="T76" s="21">
        <f>SUMIFS(Journal!$F$4:$F$9284,Journal!$C$4:$C$9284,T$8,Journal!$D$4:$D$9284,$B75)</f>
        <v>0</v>
      </c>
      <c r="U76" s="24">
        <f t="shared" si="7"/>
        <v>0.13194444444444445</v>
      </c>
    </row>
    <row r="77" spans="1:21" ht="15" customHeight="1" x14ac:dyDescent="0.25">
      <c r="A77" s="37"/>
      <c r="B77" s="39" t="str">
        <f>Base!G32</f>
        <v>52 Mode d'emploi utilisateur</v>
      </c>
      <c r="C77" s="18" t="str">
        <f>A$5</f>
        <v>Prévu</v>
      </c>
      <c r="D77" s="32"/>
      <c r="E77" s="32"/>
      <c r="F77" s="32"/>
      <c r="G77" s="32"/>
      <c r="H77" s="32"/>
      <c r="I77" s="32"/>
      <c r="J77" s="32"/>
      <c r="K77" s="32"/>
      <c r="L77" s="32"/>
      <c r="M77" s="32"/>
      <c r="N77" s="32"/>
      <c r="O77" s="32"/>
      <c r="P77" s="32">
        <v>4.1666666666666664E-2</v>
      </c>
      <c r="Q77" s="32"/>
      <c r="R77" s="32">
        <v>8.3333333333333329E-2</v>
      </c>
      <c r="S77" s="32"/>
      <c r="T77" s="32"/>
      <c r="U77" s="19">
        <f t="shared" si="7"/>
        <v>0.125</v>
      </c>
    </row>
    <row r="78" spans="1:21" ht="15" customHeight="1" thickBot="1" x14ac:dyDescent="0.3">
      <c r="A78" s="37"/>
      <c r="B78" s="27"/>
      <c r="C78" s="20" t="str">
        <f>A$6</f>
        <v>Réalisé</v>
      </c>
      <c r="D78" s="21">
        <f>SUMIFS(Journal!$F$4:$F$9284,Journal!$C$4:$C$9284,D$8,Journal!$D$4:$D$9284,$B77)</f>
        <v>0</v>
      </c>
      <c r="E78" s="21"/>
      <c r="F78" s="21">
        <f>SUMIFS(Journal!$F$4:$F$9284,Journal!$C$4:$C$9284,F$8,Journal!$D$4:$D$9284,$B77)</f>
        <v>0</v>
      </c>
      <c r="G78" s="21"/>
      <c r="H78" s="21">
        <f>SUMIFS(Journal!$F$4:$F$9284,Journal!$C$4:$C$9284,H$8,Journal!$D$4:$D$9284,$B77)</f>
        <v>0</v>
      </c>
      <c r="I78" s="21"/>
      <c r="J78" s="21">
        <f>SUMIFS(Journal!$F$4:$F$9284,Journal!$C$4:$C$9284,J$8,Journal!$D$4:$D$9284,$B77)</f>
        <v>0</v>
      </c>
      <c r="K78" s="21"/>
      <c r="L78" s="21">
        <f>SUMIFS(Journal!$F$4:$F$9284,Journal!$C$4:$C$9284,L$8,Journal!$D$4:$D$9284,$B77)</f>
        <v>0</v>
      </c>
      <c r="M78" s="21"/>
      <c r="N78" s="21">
        <f>SUMIFS(Journal!$F$4:$F$9284,Journal!$C$4:$C$9284,N$8,Journal!$D$4:$D$9284,$B77)</f>
        <v>0</v>
      </c>
      <c r="O78" s="21"/>
      <c r="P78" s="21">
        <f>SUMIFS(Journal!$F$4:$F$9284,Journal!$C$4:$C$9284,P$8,Journal!$D$4:$D$9284,$B77)</f>
        <v>0</v>
      </c>
      <c r="Q78" s="21"/>
      <c r="R78" s="21">
        <f>SUMIFS(Journal!$F$4:$F$9284,Journal!$C$4:$C$9284,R$8,Journal!$D$4:$D$9284,$B77)</f>
        <v>0</v>
      </c>
      <c r="S78" s="21"/>
      <c r="T78" s="21">
        <f>SUMIFS(Journal!$F$4:$F$9284,Journal!$C$4:$C$9284,T$8,Journal!$D$4:$D$9284,$B77)</f>
        <v>0</v>
      </c>
      <c r="U78" s="24" t="str">
        <f t="shared" si="7"/>
        <v/>
      </c>
    </row>
    <row r="79" spans="1:21" ht="15" customHeight="1" x14ac:dyDescent="0.25">
      <c r="A79" s="37"/>
      <c r="B79" s="39" t="str">
        <f>Base!G33</f>
        <v>53 Procédure d'installation</v>
      </c>
      <c r="C79" s="18" t="str">
        <f>A$5</f>
        <v>Prévu</v>
      </c>
      <c r="D79" s="32"/>
      <c r="E79" s="32"/>
      <c r="F79" s="32"/>
      <c r="G79" s="32"/>
      <c r="H79" s="32">
        <v>4.1666666666666664E-2</v>
      </c>
      <c r="I79" s="32"/>
      <c r="J79" s="32"/>
      <c r="K79" s="32"/>
      <c r="L79" s="32">
        <v>4.1666666666666664E-2</v>
      </c>
      <c r="M79" s="32"/>
      <c r="N79" s="32"/>
      <c r="O79" s="32"/>
      <c r="P79" s="32"/>
      <c r="Q79" s="32"/>
      <c r="R79" s="32">
        <v>8.3333333333333329E-2</v>
      </c>
      <c r="S79" s="32"/>
      <c r="T79" s="32">
        <v>4.1666666666666664E-2</v>
      </c>
      <c r="U79" s="19">
        <f>IF(SUM(D79:T79)=0,"",SUM(D79:T79))</f>
        <v>0.20833333333333331</v>
      </c>
    </row>
    <row r="80" spans="1:21" ht="15" customHeight="1" thickBot="1" x14ac:dyDescent="0.3">
      <c r="A80" s="37"/>
      <c r="B80" s="27"/>
      <c r="C80" s="20" t="str">
        <f>A$6</f>
        <v>Réalisé</v>
      </c>
      <c r="D80" s="21">
        <f>SUMIFS(Journal!$F$4:$F$9284,Journal!$C$4:$C$9284,D$8,Journal!$D$4:$D$9284,$B79)</f>
        <v>0</v>
      </c>
      <c r="E80" s="21"/>
      <c r="F80" s="21">
        <f>SUMIFS(Journal!$F$4:$F$9284,Journal!$C$4:$C$9284,F$8,Journal!$D$4:$D$9284,$B79)</f>
        <v>0</v>
      </c>
      <c r="G80" s="21"/>
      <c r="H80" s="21">
        <f>SUMIFS(Journal!$F$4:$F$9284,Journal!$C$4:$C$9284,H$8,Journal!$D$4:$D$9284,$B79)</f>
        <v>0</v>
      </c>
      <c r="I80" s="21"/>
      <c r="J80" s="21">
        <f>SUMIFS(Journal!$F$4:$F$9284,Journal!$C$4:$C$9284,J$8,Journal!$D$4:$D$9284,$B79)</f>
        <v>0</v>
      </c>
      <c r="K80" s="21"/>
      <c r="L80" s="21">
        <f>SUMIFS(Journal!$F$4:$F$9284,Journal!$C$4:$C$9284,L$8,Journal!$D$4:$D$9284,$B79)</f>
        <v>0</v>
      </c>
      <c r="M80" s="21"/>
      <c r="N80" s="21">
        <f>SUMIFS(Journal!$F$4:$F$9284,Journal!$C$4:$C$9284,N$8,Journal!$D$4:$D$9284,$B79)</f>
        <v>0</v>
      </c>
      <c r="O80" s="21"/>
      <c r="P80" s="21">
        <f>SUMIFS(Journal!$F$4:$F$9284,Journal!$C$4:$C$9284,P$8,Journal!$D$4:$D$9284,$B79)</f>
        <v>0</v>
      </c>
      <c r="Q80" s="21"/>
      <c r="R80" s="21">
        <f>SUMIFS(Journal!$F$4:$F$9284,Journal!$C$4:$C$9284,R$8,Journal!$D$4:$D$9284,$B79)</f>
        <v>0</v>
      </c>
      <c r="S80" s="21"/>
      <c r="T80" s="21">
        <f>SUMIFS(Journal!$F$4:$F$9284,Journal!$C$4:$C$9284,T$8,Journal!$D$4:$D$9284,$B79)</f>
        <v>0</v>
      </c>
      <c r="U80" s="24" t="str">
        <f t="shared" si="7"/>
        <v/>
      </c>
    </row>
    <row r="81" spans="1:21" ht="15" customHeight="1" x14ac:dyDescent="0.25">
      <c r="A81" s="37"/>
      <c r="B81" s="39" t="str">
        <f>Base!G34</f>
        <v>54 Procédure de mise en service</v>
      </c>
      <c r="C81" s="18" t="str">
        <f>A$5</f>
        <v>Prévu</v>
      </c>
      <c r="D81" s="32"/>
      <c r="E81" s="32"/>
      <c r="F81" s="32"/>
      <c r="G81" s="32"/>
      <c r="H81" s="32">
        <v>2.0833333333333332E-2</v>
      </c>
      <c r="I81" s="32"/>
      <c r="J81" s="32"/>
      <c r="K81" s="32"/>
      <c r="L81" s="32">
        <v>1.3888888888888888E-2</v>
      </c>
      <c r="M81" s="32"/>
      <c r="N81" s="32">
        <v>1.3888888888888888E-2</v>
      </c>
      <c r="O81" s="32"/>
      <c r="P81" s="32">
        <v>1.3888888888888888E-2</v>
      </c>
      <c r="Q81" s="32"/>
      <c r="R81" s="32">
        <v>1.3888888888888888E-2</v>
      </c>
      <c r="S81" s="32"/>
      <c r="T81" s="32"/>
      <c r="U81" s="19">
        <f t="shared" si="7"/>
        <v>7.6388888888888895E-2</v>
      </c>
    </row>
    <row r="82" spans="1:21" ht="15" customHeight="1" thickBot="1" x14ac:dyDescent="0.3">
      <c r="A82" s="37"/>
      <c r="B82" s="27"/>
      <c r="C82" s="20" t="str">
        <f>A$6</f>
        <v>Réalisé</v>
      </c>
      <c r="D82" s="21">
        <f>SUMIFS(Journal!$F$4:$F$9284,Journal!$C$4:$C$9284,D$8,Journal!$D$4:$D$9284,$B81)</f>
        <v>0</v>
      </c>
      <c r="E82" s="21"/>
      <c r="F82" s="21">
        <f>SUMIFS(Journal!$F$4:$F$9284,Journal!$C$4:$C$9284,F$8,Journal!$D$4:$D$9284,$B81)</f>
        <v>0</v>
      </c>
      <c r="G82" s="21"/>
      <c r="H82" s="21">
        <f>SUMIFS(Journal!$F$4:$F$9284,Journal!$C$4:$C$9284,H$8,Journal!$D$4:$D$9284,$B81)</f>
        <v>0</v>
      </c>
      <c r="I82" s="21"/>
      <c r="J82" s="21">
        <f>SUMIFS(Journal!$F$4:$F$9284,Journal!$C$4:$C$9284,J$8,Journal!$D$4:$D$9284,$B81)</f>
        <v>0</v>
      </c>
      <c r="K82" s="21"/>
      <c r="L82" s="21">
        <f>SUMIFS(Journal!$F$4:$F$9284,Journal!$C$4:$C$9284,L$8,Journal!$D$4:$D$9284,$B81)</f>
        <v>0</v>
      </c>
      <c r="M82" s="21"/>
      <c r="N82" s="21">
        <f>SUMIFS(Journal!$F$4:$F$9284,Journal!$C$4:$C$9284,N$8,Journal!$D$4:$D$9284,$B81)</f>
        <v>0</v>
      </c>
      <c r="O82" s="21"/>
      <c r="P82" s="21">
        <f>SUMIFS(Journal!$F$4:$F$9284,Journal!$C$4:$C$9284,P$8,Journal!$D$4:$D$9284,$B81)</f>
        <v>0</v>
      </c>
      <c r="Q82" s="21"/>
      <c r="R82" s="21">
        <f>SUMIFS(Journal!$F$4:$F$9284,Journal!$C$4:$C$9284,R$8,Journal!$D$4:$D$9284,$B81)</f>
        <v>0</v>
      </c>
      <c r="S82" s="21"/>
      <c r="T82" s="21">
        <f>SUMIFS(Journal!$F$4:$F$9284,Journal!$C$4:$C$9284,T$8,Journal!$D$4:$D$9284,$B81)</f>
        <v>0</v>
      </c>
      <c r="U82" s="24" t="str">
        <f t="shared" si="7"/>
        <v/>
      </c>
    </row>
    <row r="83" spans="1:21" ht="15" customHeight="1" x14ac:dyDescent="0.25">
      <c r="A83" s="37"/>
      <c r="B83" s="39" t="str">
        <f>Base!G35</f>
        <v xml:space="preserve">55 - </v>
      </c>
      <c r="C83" s="18" t="str">
        <f>A$5</f>
        <v>Prévu</v>
      </c>
      <c r="D83" s="32"/>
      <c r="E83" s="32"/>
      <c r="F83" s="32"/>
      <c r="G83" s="32"/>
      <c r="H83" s="32"/>
      <c r="I83" s="32"/>
      <c r="J83" s="32"/>
      <c r="K83" s="32"/>
      <c r="L83" s="32"/>
      <c r="M83" s="32"/>
      <c r="N83" s="32"/>
      <c r="O83" s="32"/>
      <c r="P83" s="32"/>
      <c r="Q83" s="32"/>
      <c r="R83" s="32"/>
      <c r="S83" s="32"/>
      <c r="T83" s="32"/>
      <c r="U83" s="19" t="str">
        <f t="shared" si="7"/>
        <v/>
      </c>
    </row>
    <row r="84" spans="1:21" ht="15" customHeight="1" x14ac:dyDescent="0.25">
      <c r="A84" s="37"/>
      <c r="B84" s="27"/>
      <c r="C84" s="20" t="str">
        <f>A$6</f>
        <v>Réalisé</v>
      </c>
      <c r="D84" s="21">
        <f>SUMIFS(Journal!$F$4:$F$9284,Journal!$C$4:$C$9284,D$8,Journal!$D$4:$D$9284,$B83)</f>
        <v>6.9444444444444441E-3</v>
      </c>
      <c r="E84" s="21"/>
      <c r="F84" s="21">
        <f>SUMIFS(Journal!$F$4:$F$9284,Journal!$C$4:$C$9284,F$8,Journal!$D$4:$D$9284,$B83)</f>
        <v>1.0416666666666666E-2</v>
      </c>
      <c r="G84" s="21"/>
      <c r="H84" s="21">
        <f>SUMIFS(Journal!$F$4:$F$9284,Journal!$C$4:$C$9284,H$8,Journal!$D$4:$D$9284,$B83)</f>
        <v>0</v>
      </c>
      <c r="I84" s="21"/>
      <c r="J84" s="21">
        <f>SUMIFS(Journal!$F$4:$F$9284,Journal!$C$4:$C$9284,J$8,Journal!$D$4:$D$9284,$B83)</f>
        <v>0</v>
      </c>
      <c r="K84" s="21"/>
      <c r="L84" s="21">
        <f>SUMIFS(Journal!$F$4:$F$9284,Journal!$C$4:$C$9284,L$8,Journal!$D$4:$D$9284,$B83)</f>
        <v>0</v>
      </c>
      <c r="M84" s="21"/>
      <c r="N84" s="21">
        <f>SUMIFS(Journal!$F$4:$F$9284,Journal!$C$4:$C$9284,N$8,Journal!$D$4:$D$9284,$B83)</f>
        <v>0</v>
      </c>
      <c r="O84" s="21"/>
      <c r="P84" s="21">
        <f>SUMIFS(Journal!$F$4:$F$9284,Journal!$C$4:$C$9284,P$8,Journal!$D$4:$D$9284,$B83)</f>
        <v>0</v>
      </c>
      <c r="Q84" s="21"/>
      <c r="R84" s="21">
        <f>SUMIFS(Journal!$F$4:$F$9284,Journal!$C$4:$C$9284,R$8,Journal!$D$4:$D$9284,$B83)</f>
        <v>0</v>
      </c>
      <c r="S84" s="21"/>
      <c r="T84" s="21">
        <f>SUMIFS(Journal!$F$4:$F$9284,Journal!$C$4:$C$9284,T$8,Journal!$D$4:$D$9284,$B83)</f>
        <v>0</v>
      </c>
      <c r="U84" s="24">
        <f t="shared" si="7"/>
        <v>1.7361111111111112E-2</v>
      </c>
    </row>
    <row r="85" spans="1:21" ht="15" customHeight="1" x14ac:dyDescent="0.25">
      <c r="A85" s="37"/>
      <c r="B85" s="39" t="str">
        <f>Base!G36</f>
        <v xml:space="preserve">56 - </v>
      </c>
      <c r="C85" s="18" t="str">
        <f>A$5</f>
        <v>Prévu</v>
      </c>
      <c r="D85" s="32"/>
      <c r="E85" s="32"/>
      <c r="F85" s="32"/>
      <c r="G85" s="32"/>
      <c r="H85" s="32"/>
      <c r="I85" s="32"/>
      <c r="J85" s="32"/>
      <c r="K85" s="32"/>
      <c r="L85" s="32"/>
      <c r="M85" s="32"/>
      <c r="N85" s="32"/>
      <c r="O85" s="32"/>
      <c r="P85" s="32"/>
      <c r="Q85" s="32"/>
      <c r="R85" s="32"/>
      <c r="S85" s="32"/>
      <c r="T85" s="32"/>
      <c r="U85" s="25" t="str">
        <f t="shared" si="7"/>
        <v/>
      </c>
    </row>
    <row r="86" spans="1:21" ht="15" customHeight="1" thickBot="1" x14ac:dyDescent="0.3">
      <c r="A86" s="37"/>
      <c r="B86" s="27"/>
      <c r="C86" s="20" t="str">
        <f>A$6</f>
        <v>Réalisé</v>
      </c>
      <c r="D86" s="21">
        <f>SUMIFS(Journal!$F$4:$F$9284,Journal!$C$4:$C$9284,D$8,Journal!$D$4:$D$9284,$B85)</f>
        <v>0</v>
      </c>
      <c r="E86" s="21"/>
      <c r="F86" s="21">
        <f>SUMIFS(Journal!$F$4:$F$9284,Journal!$C$4:$C$9284,F$8,Journal!$D$4:$D$9284,$B85)</f>
        <v>0</v>
      </c>
      <c r="G86" s="21"/>
      <c r="H86" s="21">
        <f>SUMIFS(Journal!$F$4:$F$9284,Journal!$C$4:$C$9284,H$8,Journal!$D$4:$D$9284,$B85)</f>
        <v>0</v>
      </c>
      <c r="I86" s="21"/>
      <c r="J86" s="21">
        <f>SUMIFS(Journal!$F$4:$F$9284,Journal!$C$4:$C$9284,J$8,Journal!$D$4:$D$9284,$B85)</f>
        <v>0</v>
      </c>
      <c r="K86" s="21"/>
      <c r="L86" s="21">
        <f>SUMIFS(Journal!$F$4:$F$9284,Journal!$C$4:$C$9284,L$8,Journal!$D$4:$D$9284,$B85)</f>
        <v>0</v>
      </c>
      <c r="M86" s="21"/>
      <c r="N86" s="21">
        <f>SUMIFS(Journal!$F$4:$F$9284,Journal!$C$4:$C$9284,N$8,Journal!$D$4:$D$9284,$B85)</f>
        <v>0</v>
      </c>
      <c r="O86" s="21"/>
      <c r="P86" s="21">
        <f>SUMIFS(Journal!$F$4:$F$9284,Journal!$C$4:$C$9284,P$8,Journal!$D$4:$D$9284,$B85)</f>
        <v>0</v>
      </c>
      <c r="Q86" s="21"/>
      <c r="R86" s="21">
        <f>SUMIFS(Journal!$F$4:$F$9284,Journal!$C$4:$C$9284,R$8,Journal!$D$4:$D$9284,$B85)</f>
        <v>0</v>
      </c>
      <c r="S86" s="21"/>
      <c r="T86" s="21">
        <f>SUMIFS(Journal!$F$4:$F$9284,Journal!$C$4:$C$9284,T$8,Journal!$D$4:$D$9284,$B85)</f>
        <v>0</v>
      </c>
      <c r="U86" s="24" t="str">
        <f t="shared" si="7"/>
        <v/>
      </c>
    </row>
    <row r="87" spans="1:21" ht="20.25" customHeight="1" x14ac:dyDescent="0.25">
      <c r="A87" s="207" t="str">
        <f>Base!F37</f>
        <v>6 Absence</v>
      </c>
      <c r="B87" s="208"/>
      <c r="C87" s="208"/>
      <c r="D87" s="208"/>
      <c r="E87" s="208"/>
      <c r="F87" s="208"/>
      <c r="G87" s="208"/>
      <c r="H87" s="208"/>
      <c r="I87" s="208"/>
      <c r="J87" s="208"/>
      <c r="K87" s="208"/>
      <c r="L87" s="208"/>
      <c r="M87" s="208"/>
      <c r="N87" s="208"/>
      <c r="O87" s="208"/>
      <c r="P87" s="208"/>
      <c r="Q87" s="208"/>
      <c r="R87" s="208"/>
      <c r="S87" s="208"/>
      <c r="T87" s="208"/>
      <c r="U87" s="16">
        <f>SUMIF($C89:$C100,$C89,U89:U100)</f>
        <v>6.2500000000000014E-2</v>
      </c>
    </row>
    <row r="88" spans="1:21" ht="15" customHeight="1" thickBot="1" x14ac:dyDescent="0.3">
      <c r="A88" s="209"/>
      <c r="B88" s="210"/>
      <c r="C88" s="210"/>
      <c r="D88" s="210"/>
      <c r="E88" s="210"/>
      <c r="F88" s="210"/>
      <c r="G88" s="210"/>
      <c r="H88" s="210"/>
      <c r="I88" s="210"/>
      <c r="J88" s="210"/>
      <c r="K88" s="210"/>
      <c r="L88" s="210"/>
      <c r="M88" s="210"/>
      <c r="N88" s="210"/>
      <c r="O88" s="210"/>
      <c r="P88" s="210"/>
      <c r="Q88" s="210"/>
      <c r="R88" s="210"/>
      <c r="S88" s="210"/>
      <c r="T88" s="210"/>
      <c r="U88" s="17">
        <f>SUMIF($C89:$C100,$C90,U89:U100)</f>
        <v>6.9444444444444441E-3</v>
      </c>
    </row>
    <row r="89" spans="1:21" ht="15" customHeight="1" x14ac:dyDescent="0.25">
      <c r="A89" s="37"/>
      <c r="B89" s="39" t="str">
        <f>Base!G37</f>
        <v>61 - réunion avec chef de projet</v>
      </c>
      <c r="C89" s="18" t="str">
        <f>A$5</f>
        <v>Prévu</v>
      </c>
      <c r="D89" s="32">
        <v>6.9444444444444441E-3</v>
      </c>
      <c r="E89" s="32"/>
      <c r="F89" s="32">
        <v>6.9444444444444441E-3</v>
      </c>
      <c r="G89" s="32"/>
      <c r="H89" s="32">
        <v>6.9444444444444441E-3</v>
      </c>
      <c r="I89" s="32"/>
      <c r="J89" s="32">
        <v>6.9444444444444441E-3</v>
      </c>
      <c r="K89" s="32"/>
      <c r="L89" s="32">
        <v>6.9444444444444441E-3</v>
      </c>
      <c r="M89" s="32"/>
      <c r="N89" s="32">
        <v>6.9444444444444441E-3</v>
      </c>
      <c r="O89" s="32"/>
      <c r="P89" s="32">
        <v>6.9444444444444441E-3</v>
      </c>
      <c r="Q89" s="32"/>
      <c r="R89" s="32">
        <v>6.9444444444444441E-3</v>
      </c>
      <c r="S89" s="32"/>
      <c r="T89" s="32">
        <v>6.9444444444444441E-3</v>
      </c>
      <c r="U89" s="19">
        <f>IF(SUM(D89:T89)=0,"",SUM(D89:T89))</f>
        <v>6.2500000000000014E-2</v>
      </c>
    </row>
    <row r="90" spans="1:21" ht="15" customHeight="1" thickBot="1" x14ac:dyDescent="0.3">
      <c r="A90" s="37"/>
      <c r="B90" s="27"/>
      <c r="C90" s="20" t="str">
        <f>A$6</f>
        <v>Réalisé</v>
      </c>
      <c r="D90" s="21">
        <v>6.9444444444444441E-3</v>
      </c>
      <c r="E90" s="21">
        <f>SUMIFS(Journal!$F$4:$F$9284,Journal!$C$4:$C$9284,E$8,Journal!$D$4:$D$9284,$B89)</f>
        <v>0</v>
      </c>
      <c r="F90" s="21">
        <f>SUMIFS(Journal!$F$4:$F$9284,Journal!$C$4:$C$9284,F$8,Journal!$D$4:$D$9284,$B89)</f>
        <v>0</v>
      </c>
      <c r="G90" s="21">
        <f>SUMIFS(Journal!$F$4:$F$9284,Journal!$C$4:$C$9284,G$8,Journal!$D$4:$D$9284,$B89)</f>
        <v>0</v>
      </c>
      <c r="H90" s="21">
        <f>SUMIFS(Journal!$F$4:$F$9284,Journal!$C$4:$C$9284,H$8,Journal!$D$4:$D$9284,$B89)</f>
        <v>0</v>
      </c>
      <c r="I90" s="21">
        <f>SUMIFS(Journal!$F$4:$F$9284,Journal!$C$4:$C$9284,I$8,Journal!$D$4:$D$9284,$B89)</f>
        <v>0</v>
      </c>
      <c r="J90" s="21">
        <f>SUMIFS(Journal!$F$4:$F$9284,Journal!$C$4:$C$9284,J$8,Journal!$D$4:$D$9284,$B89)</f>
        <v>0</v>
      </c>
      <c r="K90" s="21">
        <f>SUMIFS(Journal!$F$4:$F$9284,Journal!$C$4:$C$9284,K$8,Journal!$D$4:$D$9284,$B89)</f>
        <v>0</v>
      </c>
      <c r="L90" s="21">
        <f>SUMIFS(Journal!$F$4:$F$9284,Journal!$C$4:$C$9284,L$8,Journal!$D$4:$D$9284,$B89)</f>
        <v>0</v>
      </c>
      <c r="M90" s="21">
        <f>SUMIFS(Journal!$F$4:$F$9284,Journal!$C$4:$C$9284,M$8,Journal!$D$4:$D$9284,$B89)</f>
        <v>0</v>
      </c>
      <c r="N90" s="21">
        <f>SUMIFS(Journal!$F$4:$F$9284,Journal!$C$4:$C$9284,N$8,Journal!$D$4:$D$9284,$B89)</f>
        <v>0</v>
      </c>
      <c r="O90" s="21">
        <f>SUMIFS(Journal!$F$4:$F$9284,Journal!$C$4:$C$9284,O$8,Journal!$D$4:$D$9284,$B89)</f>
        <v>0</v>
      </c>
      <c r="P90" s="21">
        <f>SUMIFS(Journal!$F$4:$F$9284,Journal!$C$4:$C$9284,P$8,Journal!$D$4:$D$9284,$B89)</f>
        <v>0</v>
      </c>
      <c r="Q90" s="21">
        <f>SUMIFS(Journal!$F$4:$F$9284,Journal!$C$4:$C$9284,Q$8,Journal!$D$4:$D$9284,$B89)</f>
        <v>0</v>
      </c>
      <c r="R90" s="21">
        <f>SUMIFS(Journal!$F$4:$F$9284,Journal!$C$4:$C$9284,R$8,Journal!$D$4:$D$9284,$B89)</f>
        <v>0</v>
      </c>
      <c r="S90" s="21">
        <f>SUMIFS(Journal!$F$4:$F$9284,Journal!$C$4:$C$9284,S$8,Journal!$D$4:$D$9284,$B89)</f>
        <v>0</v>
      </c>
      <c r="T90" s="21">
        <f>SUMIFS(Journal!$F$4:$F$9284,Journal!$C$4:$C$9284,T$8,Journal!$D$4:$D$9284,$B89)</f>
        <v>0</v>
      </c>
      <c r="U90" s="24">
        <f>IF(SUM(D90:T90)=0,"",SUM(D90:T90))</f>
        <v>6.9444444444444441E-3</v>
      </c>
    </row>
    <row r="91" spans="1:21" ht="15" customHeight="1" x14ac:dyDescent="0.25">
      <c r="A91" s="37"/>
      <c r="B91" s="39">
        <f>Base!G38</f>
        <v>0</v>
      </c>
      <c r="C91" s="18" t="str">
        <f>A$5</f>
        <v>Prévu</v>
      </c>
      <c r="D91" s="32"/>
      <c r="E91" s="32"/>
      <c r="F91" s="32"/>
      <c r="G91" s="32"/>
      <c r="H91" s="32"/>
      <c r="I91" s="32"/>
      <c r="J91" s="32"/>
      <c r="K91" s="32"/>
      <c r="L91" s="32"/>
      <c r="M91" s="32"/>
      <c r="N91" s="32"/>
      <c r="O91" s="32"/>
      <c r="P91" s="32"/>
      <c r="Q91" s="32"/>
      <c r="R91" s="32"/>
      <c r="S91" s="32"/>
      <c r="T91" s="32"/>
      <c r="U91" s="19" t="str">
        <f>IF(SUM(E91:T91)=0,"",SUM(E91:T91))</f>
        <v/>
      </c>
    </row>
    <row r="92" spans="1:21" ht="15" customHeight="1" thickBot="1" x14ac:dyDescent="0.3">
      <c r="A92" s="37"/>
      <c r="B92" s="27"/>
      <c r="C92" s="20" t="str">
        <f>A$6</f>
        <v>Réalisé</v>
      </c>
      <c r="D92" s="21">
        <f>SUMIFS(Journal!$F$4:$F$9284,Journal!$C$4:$C$9284,D$8,Journal!$D$4:$D$9284,$B91)</f>
        <v>0</v>
      </c>
      <c r="E92" s="21">
        <f>SUMIFS(Journal!$F$4:$F$9284,Journal!$C$4:$C$9284,E$8,Journal!$D$4:$D$9284,$B91)</f>
        <v>0</v>
      </c>
      <c r="F92" s="21">
        <f>SUMIFS(Journal!$F$4:$F$9284,Journal!$C$4:$C$9284,F$8,Journal!$D$4:$D$9284,$B91)</f>
        <v>0</v>
      </c>
      <c r="G92" s="21">
        <f>SUMIFS(Journal!$F$4:$F$9284,Journal!$C$4:$C$9284,G$8,Journal!$D$4:$D$9284,$B91)</f>
        <v>0</v>
      </c>
      <c r="H92" s="21">
        <f>SUMIFS(Journal!$F$4:$F$9284,Journal!$C$4:$C$9284,H$8,Journal!$D$4:$D$9284,$B91)</f>
        <v>0</v>
      </c>
      <c r="I92" s="21">
        <f>SUMIFS(Journal!$F$4:$F$9284,Journal!$C$4:$C$9284,I$8,Journal!$D$4:$D$9284,$B91)</f>
        <v>0</v>
      </c>
      <c r="J92" s="21">
        <f>SUMIFS(Journal!$F$4:$F$9284,Journal!$C$4:$C$9284,J$8,Journal!$D$4:$D$9284,$B91)</f>
        <v>0</v>
      </c>
      <c r="K92" s="21">
        <f>SUMIFS(Journal!$F$4:$F$9284,Journal!$C$4:$C$9284,K$8,Journal!$D$4:$D$9284,$B91)</f>
        <v>0</v>
      </c>
      <c r="L92" s="21">
        <f>SUMIFS(Journal!$F$4:$F$9284,Journal!$C$4:$C$9284,L$8,Journal!$D$4:$D$9284,$B91)</f>
        <v>0</v>
      </c>
      <c r="M92" s="21">
        <f>SUMIFS(Journal!$F$4:$F$9284,Journal!$C$4:$C$9284,M$8,Journal!$D$4:$D$9284,$B91)</f>
        <v>0</v>
      </c>
      <c r="N92" s="21">
        <f>SUMIFS(Journal!$F$4:$F$9284,Journal!$C$4:$C$9284,N$8,Journal!$D$4:$D$9284,$B91)</f>
        <v>0</v>
      </c>
      <c r="O92" s="21">
        <f>SUMIFS(Journal!$F$4:$F$9284,Journal!$C$4:$C$9284,O$8,Journal!$D$4:$D$9284,$B91)</f>
        <v>0</v>
      </c>
      <c r="P92" s="21">
        <f>SUMIFS(Journal!$F$4:$F$9284,Journal!$C$4:$C$9284,P$8,Journal!$D$4:$D$9284,$B91)</f>
        <v>0</v>
      </c>
      <c r="Q92" s="21">
        <f>SUMIFS(Journal!$F$4:$F$9284,Journal!$C$4:$C$9284,Q$8,Journal!$D$4:$D$9284,$B91)</f>
        <v>0</v>
      </c>
      <c r="R92" s="21">
        <f>SUMIFS(Journal!$F$4:$F$9284,Journal!$C$4:$C$9284,R$8,Journal!$D$4:$D$9284,$B91)</f>
        <v>0</v>
      </c>
      <c r="S92" s="21">
        <f>SUMIFS(Journal!$F$4:$F$9284,Journal!$C$4:$C$9284,S$8,Journal!$D$4:$D$9284,$B91)</f>
        <v>0</v>
      </c>
      <c r="T92" s="21">
        <f>SUMIFS(Journal!$F$4:$F$9284,Journal!$C$4:$C$9284,T$8,Journal!$D$4:$D$9284,$B91)</f>
        <v>0</v>
      </c>
      <c r="U92" s="24" t="str">
        <f t="shared" ref="U92:U100" si="8">IF(SUM(D92:T92)=0,"",SUM(D92:T92))</f>
        <v/>
      </c>
    </row>
    <row r="93" spans="1:21" ht="15" customHeight="1" x14ac:dyDescent="0.25">
      <c r="A93" s="37"/>
      <c r="B93" s="39">
        <f>Base!G39</f>
        <v>0</v>
      </c>
      <c r="C93" s="18" t="str">
        <f>A$5</f>
        <v>Prévu</v>
      </c>
      <c r="D93" s="32"/>
      <c r="E93" s="32"/>
      <c r="F93" s="32"/>
      <c r="G93" s="32"/>
      <c r="H93" s="32"/>
      <c r="I93" s="32"/>
      <c r="J93" s="32"/>
      <c r="K93" s="32"/>
      <c r="L93" s="32"/>
      <c r="M93" s="32"/>
      <c r="N93" s="32"/>
      <c r="O93" s="32"/>
      <c r="P93" s="32"/>
      <c r="Q93" s="32"/>
      <c r="R93" s="32"/>
      <c r="S93" s="32"/>
      <c r="T93" s="32"/>
      <c r="U93" s="19" t="str">
        <f t="shared" si="8"/>
        <v/>
      </c>
    </row>
    <row r="94" spans="1:21" ht="15" customHeight="1" thickBot="1" x14ac:dyDescent="0.3">
      <c r="A94" s="37"/>
      <c r="B94" s="27"/>
      <c r="C94" s="20" t="str">
        <f>A$6</f>
        <v>Réalisé</v>
      </c>
      <c r="D94" s="21">
        <f>SUMIFS(Journal!$F$4:$F$9284,Journal!$C$4:$C$9284,D$8,Journal!$D$4:$D$9284,$B93)</f>
        <v>0</v>
      </c>
      <c r="E94" s="21"/>
      <c r="F94" s="21">
        <f>SUMIFS(Journal!$F$4:$F$9284,Journal!$C$4:$C$9284,F$8,Journal!$D$4:$D$9284,$B93)</f>
        <v>0</v>
      </c>
      <c r="G94" s="21"/>
      <c r="H94" s="21">
        <f>SUMIFS(Journal!$F$4:$F$9284,Journal!$C$4:$C$9284,H$8,Journal!$D$4:$D$9284,$B93)</f>
        <v>0</v>
      </c>
      <c r="I94" s="21"/>
      <c r="J94" s="21">
        <f>SUMIFS(Journal!$F$4:$F$9284,Journal!$C$4:$C$9284,J$8,Journal!$D$4:$D$9284,$B93)</f>
        <v>0</v>
      </c>
      <c r="K94" s="21"/>
      <c r="L94" s="21">
        <f>SUMIFS(Journal!$F$4:$F$9284,Journal!$C$4:$C$9284,L$8,Journal!$D$4:$D$9284,$B93)</f>
        <v>0</v>
      </c>
      <c r="M94" s="21"/>
      <c r="N94" s="21">
        <f>SUMIFS(Journal!$F$4:$F$9284,Journal!$C$4:$C$9284,N$8,Journal!$D$4:$D$9284,$B93)</f>
        <v>0</v>
      </c>
      <c r="O94" s="21"/>
      <c r="P94" s="21">
        <f>SUMIFS(Journal!$F$4:$F$9284,Journal!$C$4:$C$9284,P$8,Journal!$D$4:$D$9284,$B93)</f>
        <v>0</v>
      </c>
      <c r="Q94" s="21"/>
      <c r="R94" s="21">
        <f>SUMIFS(Journal!$F$4:$F$9284,Journal!$C$4:$C$9284,R$8,Journal!$D$4:$D$9284,$B93)</f>
        <v>0</v>
      </c>
      <c r="S94" s="21"/>
      <c r="T94" s="21">
        <f>SUMIFS(Journal!$F$4:$F$9284,Journal!$C$4:$C$9284,T$8,Journal!$D$4:$D$9284,$B93)</f>
        <v>0</v>
      </c>
      <c r="U94" s="24" t="str">
        <f t="shared" si="8"/>
        <v/>
      </c>
    </row>
    <row r="95" spans="1:21" ht="15" customHeight="1" x14ac:dyDescent="0.25">
      <c r="A95" s="37"/>
      <c r="B95" s="39">
        <f>Base!G40</f>
        <v>0</v>
      </c>
      <c r="C95" s="18" t="str">
        <f>A$5</f>
        <v>Prévu</v>
      </c>
      <c r="D95" s="32"/>
      <c r="E95" s="32"/>
      <c r="F95" s="32"/>
      <c r="G95" s="32"/>
      <c r="H95" s="32"/>
      <c r="I95" s="32"/>
      <c r="J95" s="32"/>
      <c r="K95" s="32"/>
      <c r="L95" s="32"/>
      <c r="M95" s="32"/>
      <c r="N95" s="32"/>
      <c r="O95" s="32"/>
      <c r="P95" s="32"/>
      <c r="Q95" s="32"/>
      <c r="R95" s="32"/>
      <c r="S95" s="32"/>
      <c r="T95" s="32"/>
      <c r="U95" s="19" t="str">
        <f t="shared" si="8"/>
        <v/>
      </c>
    </row>
    <row r="96" spans="1:21" ht="15" customHeight="1" thickBot="1" x14ac:dyDescent="0.3">
      <c r="A96" s="37"/>
      <c r="B96" s="27"/>
      <c r="C96" s="20" t="str">
        <f>A$6</f>
        <v>Réalisé</v>
      </c>
      <c r="D96" s="21">
        <f>SUMIFS(Journal!$F$4:$F$9284,Journal!$C$4:$C$9284,D$8,Journal!$D$4:$D$9284,$B95)</f>
        <v>0</v>
      </c>
      <c r="E96" s="21"/>
      <c r="F96" s="21">
        <f>SUMIFS(Journal!$F$4:$F$9284,Journal!$C$4:$C$9284,F$8,Journal!$D$4:$D$9284,$B95)</f>
        <v>0</v>
      </c>
      <c r="G96" s="21"/>
      <c r="H96" s="21">
        <f>SUMIFS(Journal!$F$4:$F$9284,Journal!$C$4:$C$9284,H$8,Journal!$D$4:$D$9284,$B95)</f>
        <v>0</v>
      </c>
      <c r="I96" s="21"/>
      <c r="J96" s="21">
        <f>SUMIFS(Journal!$F$4:$F$9284,Journal!$C$4:$C$9284,J$8,Journal!$D$4:$D$9284,$B95)</f>
        <v>0</v>
      </c>
      <c r="K96" s="21"/>
      <c r="L96" s="21">
        <f>SUMIFS(Journal!$F$4:$F$9284,Journal!$C$4:$C$9284,L$8,Journal!$D$4:$D$9284,$B95)</f>
        <v>0</v>
      </c>
      <c r="M96" s="21"/>
      <c r="N96" s="21">
        <f>SUMIFS(Journal!$F$4:$F$9284,Journal!$C$4:$C$9284,N$8,Journal!$D$4:$D$9284,$B95)</f>
        <v>0</v>
      </c>
      <c r="O96" s="21"/>
      <c r="P96" s="21">
        <f>SUMIFS(Journal!$F$4:$F$9284,Journal!$C$4:$C$9284,P$8,Journal!$D$4:$D$9284,$B95)</f>
        <v>0</v>
      </c>
      <c r="Q96" s="21"/>
      <c r="R96" s="21">
        <f>SUMIFS(Journal!$F$4:$F$9284,Journal!$C$4:$C$9284,R$8,Journal!$D$4:$D$9284,$B95)</f>
        <v>0</v>
      </c>
      <c r="S96" s="21"/>
      <c r="T96" s="21">
        <f>SUMIFS(Journal!$F$4:$F$9284,Journal!$C$4:$C$9284,T$8,Journal!$D$4:$D$9284,$B95)</f>
        <v>0</v>
      </c>
      <c r="U96" s="24" t="str">
        <f t="shared" si="8"/>
        <v/>
      </c>
    </row>
    <row r="97" spans="1:21" ht="15" customHeight="1" x14ac:dyDescent="0.25">
      <c r="A97" s="37"/>
      <c r="B97" s="39">
        <f>Base!G41</f>
        <v>0</v>
      </c>
      <c r="C97" s="18" t="str">
        <f>A$5</f>
        <v>Prévu</v>
      </c>
      <c r="D97" s="32"/>
      <c r="E97" s="32"/>
      <c r="F97" s="32"/>
      <c r="G97" s="32"/>
      <c r="H97" s="32"/>
      <c r="I97" s="32"/>
      <c r="J97" s="32"/>
      <c r="K97" s="32"/>
      <c r="L97" s="32"/>
      <c r="M97" s="32"/>
      <c r="N97" s="32"/>
      <c r="O97" s="32"/>
      <c r="P97" s="32"/>
      <c r="Q97" s="32"/>
      <c r="R97" s="32"/>
      <c r="S97" s="32"/>
      <c r="T97" s="32"/>
      <c r="U97" s="19" t="str">
        <f t="shared" si="8"/>
        <v/>
      </c>
    </row>
    <row r="98" spans="1:21" ht="15" customHeight="1" thickBot="1" x14ac:dyDescent="0.3">
      <c r="A98" s="37"/>
      <c r="B98" s="27"/>
      <c r="C98" s="20" t="str">
        <f>A$6</f>
        <v>Réalisé</v>
      </c>
      <c r="D98" s="21">
        <f>SUMIFS(Journal!$F$4:$F$9284,Journal!$C$4:$C$9284,D$8,Journal!$D$4:$D$9284,$B97)</f>
        <v>0</v>
      </c>
      <c r="E98" s="21"/>
      <c r="F98" s="21">
        <f>SUMIFS(Journal!$F$4:$F$9284,Journal!$C$4:$C$9284,F$8,Journal!$D$4:$D$9284,$B97)</f>
        <v>0</v>
      </c>
      <c r="G98" s="21"/>
      <c r="H98" s="21">
        <f>SUMIFS(Journal!$F$4:$F$9284,Journal!$C$4:$C$9284,H$8,Journal!$D$4:$D$9284,$B97)</f>
        <v>0</v>
      </c>
      <c r="I98" s="21"/>
      <c r="J98" s="21">
        <f>SUMIFS(Journal!$F$4:$F$9284,Journal!$C$4:$C$9284,J$8,Journal!$D$4:$D$9284,$B97)</f>
        <v>0</v>
      </c>
      <c r="K98" s="21"/>
      <c r="L98" s="21">
        <f>SUMIFS(Journal!$F$4:$F$9284,Journal!$C$4:$C$9284,L$8,Journal!$D$4:$D$9284,$B97)</f>
        <v>0</v>
      </c>
      <c r="M98" s="21"/>
      <c r="N98" s="21">
        <f>SUMIFS(Journal!$F$4:$F$9284,Journal!$C$4:$C$9284,N$8,Journal!$D$4:$D$9284,$B97)</f>
        <v>0</v>
      </c>
      <c r="O98" s="21"/>
      <c r="P98" s="21">
        <f>SUMIFS(Journal!$F$4:$F$9284,Journal!$C$4:$C$9284,P$8,Journal!$D$4:$D$9284,$B97)</f>
        <v>0</v>
      </c>
      <c r="Q98" s="21"/>
      <c r="R98" s="21">
        <f>SUMIFS(Journal!$F$4:$F$9284,Journal!$C$4:$C$9284,R$8,Journal!$D$4:$D$9284,$B97)</f>
        <v>0</v>
      </c>
      <c r="S98" s="21"/>
      <c r="T98" s="21">
        <f>SUMIFS(Journal!$F$4:$F$9284,Journal!$C$4:$C$9284,T$8,Journal!$D$4:$D$9284,$B97)</f>
        <v>0</v>
      </c>
      <c r="U98" s="24" t="str">
        <f t="shared" si="8"/>
        <v/>
      </c>
    </row>
    <row r="99" spans="1:21" ht="15" customHeight="1" x14ac:dyDescent="0.25">
      <c r="A99" s="37"/>
      <c r="B99" s="39">
        <f>Base!G42</f>
        <v>0</v>
      </c>
      <c r="C99" s="18" t="str">
        <f>A$5</f>
        <v>Prévu</v>
      </c>
      <c r="D99" s="32"/>
      <c r="E99" s="32"/>
      <c r="F99" s="32"/>
      <c r="G99" s="32"/>
      <c r="H99" s="32"/>
      <c r="I99" s="32"/>
      <c r="J99" s="32"/>
      <c r="K99" s="32"/>
      <c r="L99" s="32"/>
      <c r="M99" s="32"/>
      <c r="N99" s="32"/>
      <c r="O99" s="32"/>
      <c r="P99" s="32"/>
      <c r="Q99" s="32"/>
      <c r="R99" s="32"/>
      <c r="S99" s="32"/>
      <c r="T99" s="32"/>
      <c r="U99" s="19" t="str">
        <f t="shared" si="8"/>
        <v/>
      </c>
    </row>
    <row r="100" spans="1:21" ht="15" customHeight="1" x14ac:dyDescent="0.25">
      <c r="A100" s="37"/>
      <c r="B100" s="27"/>
      <c r="C100" s="20" t="str">
        <f>A$6</f>
        <v>Réalisé</v>
      </c>
      <c r="D100" s="21">
        <f>SUMIFS(Journal!$F$4:$F$9284,Journal!$C$4:$C$9284,D$8,Journal!$D$4:$D$9284,$B99)</f>
        <v>0</v>
      </c>
      <c r="E100" s="21"/>
      <c r="F100" s="21">
        <f>SUMIFS(Journal!$F$4:$F$9284,Journal!$C$4:$C$9284,F$8,Journal!$D$4:$D$9284,$B99)</f>
        <v>0</v>
      </c>
      <c r="G100" s="21"/>
      <c r="H100" s="21">
        <f>SUMIFS(Journal!$F$4:$F$9284,Journal!$C$4:$C$9284,H$8,Journal!$D$4:$D$9284,$B99)</f>
        <v>0</v>
      </c>
      <c r="I100" s="21"/>
      <c r="J100" s="21">
        <f>SUMIFS(Journal!$F$4:$F$9284,Journal!$C$4:$C$9284,J$8,Journal!$D$4:$D$9284,$B99)</f>
        <v>0</v>
      </c>
      <c r="K100" s="21"/>
      <c r="L100" s="21">
        <f>SUMIFS(Journal!$F$4:$F$9284,Journal!$C$4:$C$9284,L$8,Journal!$D$4:$D$9284,$B99)</f>
        <v>0</v>
      </c>
      <c r="M100" s="21"/>
      <c r="N100" s="21">
        <f>SUMIFS(Journal!$F$4:$F$9284,Journal!$C$4:$C$9284,N$8,Journal!$D$4:$D$9284,$B99)</f>
        <v>0</v>
      </c>
      <c r="O100" s="21"/>
      <c r="P100" s="21">
        <f>SUMIFS(Journal!$F$4:$F$9284,Journal!$C$4:$C$9284,P$8,Journal!$D$4:$D$9284,$B99)</f>
        <v>0</v>
      </c>
      <c r="Q100" s="21"/>
      <c r="R100" s="21">
        <f>SUMIFS(Journal!$F$4:$F$9284,Journal!$C$4:$C$9284,R$8,Journal!$D$4:$D$9284,$B99)</f>
        <v>0</v>
      </c>
      <c r="S100" s="21"/>
      <c r="T100" s="21">
        <f>SUMIFS(Journal!$F$4:$F$9284,Journal!$C$4:$C$9284,T$8,Journal!$D$4:$D$9284,$B99)</f>
        <v>0</v>
      </c>
      <c r="U100" s="24" t="str">
        <f t="shared" si="8"/>
        <v/>
      </c>
    </row>
  </sheetData>
  <mergeCells count="18">
    <mergeCell ref="D3:T3"/>
    <mergeCell ref="A9:T10"/>
    <mergeCell ref="A23:T24"/>
    <mergeCell ref="A59:T60"/>
    <mergeCell ref="B11:B12"/>
    <mergeCell ref="B13:B14"/>
    <mergeCell ref="B15:B16"/>
    <mergeCell ref="B17:B18"/>
    <mergeCell ref="B19:B20"/>
    <mergeCell ref="B21:B22"/>
    <mergeCell ref="A73:T74"/>
    <mergeCell ref="A87:T88"/>
    <mergeCell ref="B25:B26"/>
    <mergeCell ref="B27:B28"/>
    <mergeCell ref="B29:B30"/>
    <mergeCell ref="B31:B32"/>
    <mergeCell ref="B33:B34"/>
    <mergeCell ref="B35:B36"/>
  </mergeCells>
  <conditionalFormatting sqref="B5">
    <cfRule type="colorScale" priority="1445">
      <colorScale>
        <cfvo type="num" val="1"/>
        <cfvo type="num" val="100000"/>
        <color theme="0" tint="-0.14999847407452621"/>
        <color theme="0" tint="-0.14999847407452621"/>
      </colorScale>
    </cfRule>
  </conditionalFormatting>
  <conditionalFormatting sqref="I6:I7 O6:O7 G6:G7">
    <cfRule type="cellIs" dxfId="127" priority="1436" stopIfTrue="1" operator="greaterThan">
      <formula>0</formula>
    </cfRule>
  </conditionalFormatting>
  <conditionalFormatting sqref="L17:T17 L21:T21 S15:T15 D31:T31 D33:T33 D35:T35 D27:T27 D25:T25 D29:T29 E13:T13 E15:Q15 E11:T11 D47:T47 D43:T43 D41:T41 D45:T45 D67:T67 D69:T69 D71:T71 D63:T63 D65:T65 D77:T77 D95:T95 D97:T97 D99:T99 D91:T91 D93:T93 D49:T49 D57:T57 D75:T75 D61:T61 D83:M83 D79:T79 K85 S85:T85 D81:T81 D89:T89">
    <cfRule type="cellIs" dxfId="126" priority="839" operator="greaterThan">
      <formula>0</formula>
    </cfRule>
  </conditionalFormatting>
  <conditionalFormatting sqref="L18:T18 L22:T22 D36:T36 D34:T34 D32:T32 D26:T26 D28:T28 D30:T30 E16:T16 E12:T12 E14:T14 D48:T48 D42:T42 D44:T44 D46:T46 D72:T72 D70:T70 D68:T68 D62:T62 D64:T64 D66:T66 K86 D84:M84 D82:T82 D76:T76 D78:T78 D80:T80 D100:T100 D98:T98 D96:T96 D94:T94 D58:T58 D50:T50 D90:T90 D92:T92 S86:T86">
    <cfRule type="cellIs" dxfId="125" priority="827" operator="greaterThan">
      <formula>0</formula>
    </cfRule>
  </conditionalFormatting>
  <conditionalFormatting sqref="H5">
    <cfRule type="colorScale" priority="615">
      <colorScale>
        <cfvo type="num" val="1"/>
        <cfvo type="num" val="100000"/>
        <color theme="0" tint="-0.14999847407452621"/>
        <color theme="0" tint="-0.14999847407452621"/>
      </colorScale>
    </cfRule>
  </conditionalFormatting>
  <conditionalFormatting sqref="H6:H7">
    <cfRule type="cellIs" dxfId="124" priority="614" stopIfTrue="1" operator="greaterThan">
      <formula>0</formula>
    </cfRule>
  </conditionalFormatting>
  <conditionalFormatting sqref="L20:T20">
    <cfRule type="cellIs" dxfId="123" priority="578" operator="greaterThan">
      <formula>0</formula>
    </cfRule>
  </conditionalFormatting>
  <conditionalFormatting sqref="L19:Q19 S19">
    <cfRule type="cellIs" dxfId="122" priority="580" operator="greaterThan">
      <formula>0</formula>
    </cfRule>
  </conditionalFormatting>
  <conditionalFormatting sqref="U11 U13 U15 U17 U21">
    <cfRule type="cellIs" dxfId="121" priority="411" operator="greaterThan">
      <formula>0</formula>
    </cfRule>
  </conditionalFormatting>
  <conditionalFormatting sqref="U12 U14 U16 U18 U22">
    <cfRule type="cellIs" dxfId="120" priority="410" operator="greaterThan">
      <formula>0</formula>
    </cfRule>
  </conditionalFormatting>
  <conditionalFormatting sqref="U85">
    <cfRule type="cellIs" dxfId="119" priority="385" operator="greaterThan">
      <formula>0</formula>
    </cfRule>
  </conditionalFormatting>
  <conditionalFormatting sqref="U99 U97 U95 U93 U91 U83 U81 U79 U77 U75 U71 U69 U67 U65 U63 U61 U57 U49 U47 U45 U43 U41 U19 U89">
    <cfRule type="cellIs" dxfId="118" priority="359" operator="greaterThan">
      <formula>0</formula>
    </cfRule>
  </conditionalFormatting>
  <conditionalFormatting sqref="U100 U98 U96 U94 U92 U90 U86 U84 U82 U80 U78 U76 U72 U70 U68 U66 U64 U62 U58 U50 U48 U46 U44 U42 U20">
    <cfRule type="cellIs" dxfId="117" priority="358" operator="greaterThan">
      <formula>0</formula>
    </cfRule>
  </conditionalFormatting>
  <conditionalFormatting sqref="R19">
    <cfRule type="cellIs" dxfId="116" priority="338" operator="greaterThan">
      <formula>0</formula>
    </cfRule>
  </conditionalFormatting>
  <conditionalFormatting sqref="T19">
    <cfRule type="cellIs" dxfId="115" priority="345" operator="greaterThan">
      <formula>0</formula>
    </cfRule>
  </conditionalFormatting>
  <conditionalFormatting sqref="H5">
    <cfRule type="colorScale" priority="259">
      <colorScale>
        <cfvo type="num" val="1"/>
        <cfvo type="num" val="100000"/>
        <color theme="0" tint="-0.14999847407452621"/>
        <color theme="0" tint="-0.14999847407452621"/>
      </colorScale>
    </cfRule>
  </conditionalFormatting>
  <conditionalFormatting sqref="H6:H7">
    <cfRule type="cellIs" dxfId="114" priority="258" stopIfTrue="1" operator="greaterThan">
      <formula>0</formula>
    </cfRule>
  </conditionalFormatting>
  <conditionalFormatting sqref="E6:E7">
    <cfRule type="cellIs" dxfId="113" priority="257" stopIfTrue="1" operator="greaterThan">
      <formula>0</formula>
    </cfRule>
  </conditionalFormatting>
  <conditionalFormatting sqref="D13 D15 D11">
    <cfRule type="cellIs" dxfId="112" priority="246" operator="greaterThan">
      <formula>0</formula>
    </cfRule>
  </conditionalFormatting>
  <conditionalFormatting sqref="D16 D12 D14">
    <cfRule type="cellIs" dxfId="111" priority="245" operator="greaterThan">
      <formula>0</formula>
    </cfRule>
  </conditionalFormatting>
  <conditionalFormatting sqref="E19:K19 E21:K21 E17:K17">
    <cfRule type="cellIs" dxfId="110" priority="238" operator="greaterThan">
      <formula>0</formula>
    </cfRule>
  </conditionalFormatting>
  <conditionalFormatting sqref="E22:K22 E18:K18 E20:K20">
    <cfRule type="cellIs" dxfId="109" priority="237" operator="greaterThan">
      <formula>0</formula>
    </cfRule>
  </conditionalFormatting>
  <conditionalFormatting sqref="D19 D21 D17">
    <cfRule type="cellIs" dxfId="108" priority="236" operator="greaterThan">
      <formula>0</formula>
    </cfRule>
  </conditionalFormatting>
  <conditionalFormatting sqref="D22 D18 D20">
    <cfRule type="cellIs" dxfId="107" priority="235" operator="greaterThan">
      <formula>0</formula>
    </cfRule>
  </conditionalFormatting>
  <conditionalFormatting sqref="F5">
    <cfRule type="colorScale" priority="184">
      <colorScale>
        <cfvo type="num" val="1"/>
        <cfvo type="num" val="100000"/>
        <color theme="0" tint="-0.14999847407452621"/>
        <color theme="0" tint="-0.14999847407452621"/>
      </colorScale>
    </cfRule>
  </conditionalFormatting>
  <conditionalFormatting sqref="F6:F7">
    <cfRule type="cellIs" dxfId="106" priority="183" stopIfTrue="1" operator="greaterThan">
      <formula>0</formula>
    </cfRule>
  </conditionalFormatting>
  <conditionalFormatting sqref="F5">
    <cfRule type="colorScale" priority="182">
      <colorScale>
        <cfvo type="num" val="1"/>
        <cfvo type="num" val="100000"/>
        <color theme="0" tint="-0.14999847407452621"/>
        <color theme="0" tint="-0.14999847407452621"/>
      </colorScale>
    </cfRule>
  </conditionalFormatting>
  <conditionalFormatting sqref="F6:F7">
    <cfRule type="cellIs" dxfId="105" priority="181" stopIfTrue="1" operator="greaterThan">
      <formula>0</formula>
    </cfRule>
  </conditionalFormatting>
  <conditionalFormatting sqref="D5">
    <cfRule type="colorScale" priority="180">
      <colorScale>
        <cfvo type="num" val="1"/>
        <cfvo type="num" val="100000"/>
        <color theme="0" tint="-0.14999847407452621"/>
        <color theme="0" tint="-0.14999847407452621"/>
      </colorScale>
    </cfRule>
  </conditionalFormatting>
  <conditionalFormatting sqref="D6:D7">
    <cfRule type="cellIs" dxfId="104" priority="179" stopIfTrue="1" operator="greaterThan">
      <formula>0</formula>
    </cfRule>
  </conditionalFormatting>
  <conditionalFormatting sqref="D5">
    <cfRule type="colorScale" priority="178">
      <colorScale>
        <cfvo type="num" val="1"/>
        <cfvo type="num" val="100000"/>
        <color theme="0" tint="-0.14999847407452621"/>
        <color theme="0" tint="-0.14999847407452621"/>
      </colorScale>
    </cfRule>
  </conditionalFormatting>
  <conditionalFormatting sqref="D6:D7">
    <cfRule type="cellIs" dxfId="103" priority="177" stopIfTrue="1" operator="greaterThan">
      <formula>0</formula>
    </cfRule>
  </conditionalFormatting>
  <conditionalFormatting sqref="G6:G7">
    <cfRule type="cellIs" dxfId="102" priority="176" stopIfTrue="1" operator="greaterThan">
      <formula>0</formula>
    </cfRule>
  </conditionalFormatting>
  <conditionalFormatting sqref="H5">
    <cfRule type="colorScale" priority="175">
      <colorScale>
        <cfvo type="num" val="1"/>
        <cfvo type="num" val="100000"/>
        <color theme="0" tint="-0.14999847407452621"/>
        <color theme="0" tint="-0.14999847407452621"/>
      </colorScale>
    </cfRule>
  </conditionalFormatting>
  <conditionalFormatting sqref="H6:H7">
    <cfRule type="cellIs" dxfId="101" priority="174" stopIfTrue="1" operator="greaterThan">
      <formula>0</formula>
    </cfRule>
  </conditionalFormatting>
  <conditionalFormatting sqref="H5">
    <cfRule type="colorScale" priority="173">
      <colorScale>
        <cfvo type="num" val="1"/>
        <cfvo type="num" val="100000"/>
        <color theme="0" tint="-0.14999847407452621"/>
        <color theme="0" tint="-0.14999847407452621"/>
      </colorScale>
    </cfRule>
  </conditionalFormatting>
  <conditionalFormatting sqref="H6:H7">
    <cfRule type="cellIs" dxfId="100" priority="172" stopIfTrue="1" operator="greaterThan">
      <formula>0</formula>
    </cfRule>
  </conditionalFormatting>
  <conditionalFormatting sqref="F5">
    <cfRule type="colorScale" priority="171">
      <colorScale>
        <cfvo type="num" val="1"/>
        <cfvo type="num" val="100000"/>
        <color theme="0" tint="-0.14999847407452621"/>
        <color theme="0" tint="-0.14999847407452621"/>
      </colorScale>
    </cfRule>
  </conditionalFormatting>
  <conditionalFormatting sqref="F6:F7">
    <cfRule type="cellIs" dxfId="99" priority="170" stopIfTrue="1" operator="greaterThan">
      <formula>0</formula>
    </cfRule>
  </conditionalFormatting>
  <conditionalFormatting sqref="F5">
    <cfRule type="colorScale" priority="169">
      <colorScale>
        <cfvo type="num" val="1"/>
        <cfvo type="num" val="100000"/>
        <color theme="0" tint="-0.14999847407452621"/>
        <color theme="0" tint="-0.14999847407452621"/>
      </colorScale>
    </cfRule>
  </conditionalFormatting>
  <conditionalFormatting sqref="F6:F7">
    <cfRule type="cellIs" dxfId="98" priority="168" stopIfTrue="1" operator="greaterThan">
      <formula>0</formula>
    </cfRule>
  </conditionalFormatting>
  <conditionalFormatting sqref="G6:G7">
    <cfRule type="cellIs" dxfId="97" priority="167" stopIfTrue="1" operator="greaterThan">
      <formula>0</formula>
    </cfRule>
  </conditionalFormatting>
  <conditionalFormatting sqref="H5">
    <cfRule type="colorScale" priority="166">
      <colorScale>
        <cfvo type="num" val="1"/>
        <cfvo type="num" val="100000"/>
        <color theme="0" tint="-0.14999847407452621"/>
        <color theme="0" tint="-0.14999847407452621"/>
      </colorScale>
    </cfRule>
  </conditionalFormatting>
  <conditionalFormatting sqref="H6:H7">
    <cfRule type="cellIs" dxfId="96" priority="165" stopIfTrue="1" operator="greaterThan">
      <formula>0</formula>
    </cfRule>
  </conditionalFormatting>
  <conditionalFormatting sqref="H5">
    <cfRule type="colorScale" priority="164">
      <colorScale>
        <cfvo type="num" val="1"/>
        <cfvo type="num" val="100000"/>
        <color theme="0" tint="-0.14999847407452621"/>
        <color theme="0" tint="-0.14999847407452621"/>
      </colorScale>
    </cfRule>
  </conditionalFormatting>
  <conditionalFormatting sqref="H6:H7">
    <cfRule type="cellIs" dxfId="95" priority="163" stopIfTrue="1" operator="greaterThan">
      <formula>0</formula>
    </cfRule>
  </conditionalFormatting>
  <conditionalFormatting sqref="F5">
    <cfRule type="colorScale" priority="162">
      <colorScale>
        <cfvo type="num" val="1"/>
        <cfvo type="num" val="100000"/>
        <color theme="0" tint="-0.14999847407452621"/>
        <color theme="0" tint="-0.14999847407452621"/>
      </colorScale>
    </cfRule>
  </conditionalFormatting>
  <conditionalFormatting sqref="F6:F7">
    <cfRule type="cellIs" dxfId="94" priority="161" stopIfTrue="1" operator="greaterThan">
      <formula>0</formula>
    </cfRule>
  </conditionalFormatting>
  <conditionalFormatting sqref="F5">
    <cfRule type="colorScale" priority="160">
      <colorScale>
        <cfvo type="num" val="1"/>
        <cfvo type="num" val="100000"/>
        <color theme="0" tint="-0.14999847407452621"/>
        <color theme="0" tint="-0.14999847407452621"/>
      </colorScale>
    </cfRule>
  </conditionalFormatting>
  <conditionalFormatting sqref="F6:F7">
    <cfRule type="cellIs" dxfId="93" priority="159" stopIfTrue="1" operator="greaterThan">
      <formula>0</formula>
    </cfRule>
  </conditionalFormatting>
  <conditionalFormatting sqref="H5">
    <cfRule type="colorScale" priority="158">
      <colorScale>
        <cfvo type="num" val="1"/>
        <cfvo type="num" val="100000"/>
        <color theme="0" tint="-0.14999847407452621"/>
        <color theme="0" tint="-0.14999847407452621"/>
      </colorScale>
    </cfRule>
  </conditionalFormatting>
  <conditionalFormatting sqref="H6:H7">
    <cfRule type="cellIs" dxfId="92" priority="157" stopIfTrue="1" operator="greaterThan">
      <formula>0</formula>
    </cfRule>
  </conditionalFormatting>
  <conditionalFormatting sqref="H5">
    <cfRule type="colorScale" priority="156">
      <colorScale>
        <cfvo type="num" val="1"/>
        <cfvo type="num" val="100000"/>
        <color theme="0" tint="-0.14999847407452621"/>
        <color theme="0" tint="-0.14999847407452621"/>
      </colorScale>
    </cfRule>
  </conditionalFormatting>
  <conditionalFormatting sqref="H6:H7">
    <cfRule type="cellIs" dxfId="91" priority="155" stopIfTrue="1" operator="greaterThan">
      <formula>0</formula>
    </cfRule>
  </conditionalFormatting>
  <conditionalFormatting sqref="G6:G7">
    <cfRule type="cellIs" dxfId="90" priority="154" stopIfTrue="1" operator="greaterThan">
      <formula>0</formula>
    </cfRule>
  </conditionalFormatting>
  <conditionalFormatting sqref="H5">
    <cfRule type="colorScale" priority="153">
      <colorScale>
        <cfvo type="num" val="1"/>
        <cfvo type="num" val="100000"/>
        <color theme="0" tint="-0.14999847407452621"/>
        <color theme="0" tint="-0.14999847407452621"/>
      </colorScale>
    </cfRule>
  </conditionalFormatting>
  <conditionalFormatting sqref="H6:H7">
    <cfRule type="cellIs" dxfId="89" priority="152" stopIfTrue="1" operator="greaterThan">
      <formula>0</formula>
    </cfRule>
  </conditionalFormatting>
  <conditionalFormatting sqref="H5">
    <cfRule type="colorScale" priority="151">
      <colorScale>
        <cfvo type="num" val="1"/>
        <cfvo type="num" val="100000"/>
        <color theme="0" tint="-0.14999847407452621"/>
        <color theme="0" tint="-0.14999847407452621"/>
      </colorScale>
    </cfRule>
  </conditionalFormatting>
  <conditionalFormatting sqref="H6:H7">
    <cfRule type="cellIs" dxfId="88" priority="150" stopIfTrue="1" operator="greaterThan">
      <formula>0</formula>
    </cfRule>
  </conditionalFormatting>
  <conditionalFormatting sqref="F5">
    <cfRule type="colorScale" priority="149">
      <colorScale>
        <cfvo type="num" val="1"/>
        <cfvo type="num" val="100000"/>
        <color theme="0" tint="-0.14999847407452621"/>
        <color theme="0" tint="-0.14999847407452621"/>
      </colorScale>
    </cfRule>
  </conditionalFormatting>
  <conditionalFormatting sqref="F6:F7">
    <cfRule type="cellIs" dxfId="87" priority="148" stopIfTrue="1" operator="greaterThan">
      <formula>0</formula>
    </cfRule>
  </conditionalFormatting>
  <conditionalFormatting sqref="F5">
    <cfRule type="colorScale" priority="147">
      <colorScale>
        <cfvo type="num" val="1"/>
        <cfvo type="num" val="100000"/>
        <color theme="0" tint="-0.14999847407452621"/>
        <color theme="0" tint="-0.14999847407452621"/>
      </colorScale>
    </cfRule>
  </conditionalFormatting>
  <conditionalFormatting sqref="F6:F7">
    <cfRule type="cellIs" dxfId="86" priority="146" stopIfTrue="1" operator="greaterThan">
      <formula>0</formula>
    </cfRule>
  </conditionalFormatting>
  <conditionalFormatting sqref="H5">
    <cfRule type="colorScale" priority="145">
      <colorScale>
        <cfvo type="num" val="1"/>
        <cfvo type="num" val="100000"/>
        <color theme="0" tint="-0.14999847407452621"/>
        <color theme="0" tint="-0.14999847407452621"/>
      </colorScale>
    </cfRule>
  </conditionalFormatting>
  <conditionalFormatting sqref="H6:H7">
    <cfRule type="cellIs" dxfId="85" priority="144" stopIfTrue="1" operator="greaterThan">
      <formula>0</formula>
    </cfRule>
  </conditionalFormatting>
  <conditionalFormatting sqref="H5">
    <cfRule type="colorScale" priority="143">
      <colorScale>
        <cfvo type="num" val="1"/>
        <cfvo type="num" val="100000"/>
        <color theme="0" tint="-0.14999847407452621"/>
        <color theme="0" tint="-0.14999847407452621"/>
      </colorScale>
    </cfRule>
  </conditionalFormatting>
  <conditionalFormatting sqref="H6:H7">
    <cfRule type="cellIs" dxfId="84" priority="142" stopIfTrue="1" operator="greaterThan">
      <formula>0</formula>
    </cfRule>
  </conditionalFormatting>
  <conditionalFormatting sqref="H5">
    <cfRule type="colorScale" priority="141">
      <colorScale>
        <cfvo type="num" val="1"/>
        <cfvo type="num" val="100000"/>
        <color theme="0" tint="-0.14999847407452621"/>
        <color theme="0" tint="-0.14999847407452621"/>
      </colorScale>
    </cfRule>
  </conditionalFormatting>
  <conditionalFormatting sqref="H6:H7">
    <cfRule type="cellIs" dxfId="83" priority="140" stopIfTrue="1" operator="greaterThan">
      <formula>0</formula>
    </cfRule>
  </conditionalFormatting>
  <conditionalFormatting sqref="H5">
    <cfRule type="colorScale" priority="139">
      <colorScale>
        <cfvo type="num" val="1"/>
        <cfvo type="num" val="100000"/>
        <color theme="0" tint="-0.14999847407452621"/>
        <color theme="0" tint="-0.14999847407452621"/>
      </colorScale>
    </cfRule>
  </conditionalFormatting>
  <conditionalFormatting sqref="H6:H7">
    <cfRule type="cellIs" dxfId="82" priority="138" stopIfTrue="1" operator="greaterThan">
      <formula>0</formula>
    </cfRule>
  </conditionalFormatting>
  <conditionalFormatting sqref="M6:M7">
    <cfRule type="cellIs" dxfId="81" priority="137" stopIfTrue="1" operator="greaterThan">
      <formula>0</formula>
    </cfRule>
  </conditionalFormatting>
  <conditionalFormatting sqref="N5">
    <cfRule type="colorScale" priority="136">
      <colorScale>
        <cfvo type="num" val="1"/>
        <cfvo type="num" val="100000"/>
        <color theme="0" tint="-0.14999847407452621"/>
        <color theme="0" tint="-0.14999847407452621"/>
      </colorScale>
    </cfRule>
  </conditionalFormatting>
  <conditionalFormatting sqref="N6:N7">
    <cfRule type="cellIs" dxfId="80" priority="135" stopIfTrue="1" operator="greaterThan">
      <formula>0</formula>
    </cfRule>
  </conditionalFormatting>
  <conditionalFormatting sqref="N5">
    <cfRule type="colorScale" priority="134">
      <colorScale>
        <cfvo type="num" val="1"/>
        <cfvo type="num" val="100000"/>
        <color theme="0" tint="-0.14999847407452621"/>
        <color theme="0" tint="-0.14999847407452621"/>
      </colorScale>
    </cfRule>
  </conditionalFormatting>
  <conditionalFormatting sqref="N6:N7">
    <cfRule type="cellIs" dxfId="79" priority="133" stopIfTrue="1" operator="greaterThan">
      <formula>0</formula>
    </cfRule>
  </conditionalFormatting>
  <conditionalFormatting sqref="K6:K7">
    <cfRule type="cellIs" dxfId="78" priority="132" stopIfTrue="1" operator="greaterThan">
      <formula>0</formula>
    </cfRule>
  </conditionalFormatting>
  <conditionalFormatting sqref="L5">
    <cfRule type="colorScale" priority="131">
      <colorScale>
        <cfvo type="num" val="1"/>
        <cfvo type="num" val="100000"/>
        <color theme="0" tint="-0.14999847407452621"/>
        <color theme="0" tint="-0.14999847407452621"/>
      </colorScale>
    </cfRule>
  </conditionalFormatting>
  <conditionalFormatting sqref="L6:L7">
    <cfRule type="cellIs" dxfId="77" priority="130" stopIfTrue="1" operator="greaterThan">
      <formula>0</formula>
    </cfRule>
  </conditionalFormatting>
  <conditionalFormatting sqref="L5">
    <cfRule type="colorScale" priority="129">
      <colorScale>
        <cfvo type="num" val="1"/>
        <cfvo type="num" val="100000"/>
        <color theme="0" tint="-0.14999847407452621"/>
        <color theme="0" tint="-0.14999847407452621"/>
      </colorScale>
    </cfRule>
  </conditionalFormatting>
  <conditionalFormatting sqref="L6:L7">
    <cfRule type="cellIs" dxfId="76" priority="128" stopIfTrue="1" operator="greaterThan">
      <formula>0</formula>
    </cfRule>
  </conditionalFormatting>
  <conditionalFormatting sqref="J5">
    <cfRule type="colorScale" priority="127">
      <colorScale>
        <cfvo type="num" val="1"/>
        <cfvo type="num" val="100000"/>
        <color theme="0" tint="-0.14999847407452621"/>
        <color theme="0" tint="-0.14999847407452621"/>
      </colorScale>
    </cfRule>
  </conditionalFormatting>
  <conditionalFormatting sqref="J6:J7">
    <cfRule type="cellIs" dxfId="75" priority="126" stopIfTrue="1" operator="greaterThan">
      <formula>0</formula>
    </cfRule>
  </conditionalFormatting>
  <conditionalFormatting sqref="J5">
    <cfRule type="colorScale" priority="125">
      <colorScale>
        <cfvo type="num" val="1"/>
        <cfvo type="num" val="100000"/>
        <color theme="0" tint="-0.14999847407452621"/>
        <color theme="0" tint="-0.14999847407452621"/>
      </colorScale>
    </cfRule>
  </conditionalFormatting>
  <conditionalFormatting sqref="J6:J7">
    <cfRule type="cellIs" dxfId="74" priority="124" stopIfTrue="1" operator="greaterThan">
      <formula>0</formula>
    </cfRule>
  </conditionalFormatting>
  <conditionalFormatting sqref="M6:M7">
    <cfRule type="cellIs" dxfId="73" priority="123" stopIfTrue="1" operator="greaterThan">
      <formula>0</formula>
    </cfRule>
  </conditionalFormatting>
  <conditionalFormatting sqref="N5">
    <cfRule type="colorScale" priority="122">
      <colorScale>
        <cfvo type="num" val="1"/>
        <cfvo type="num" val="100000"/>
        <color theme="0" tint="-0.14999847407452621"/>
        <color theme="0" tint="-0.14999847407452621"/>
      </colorScale>
    </cfRule>
  </conditionalFormatting>
  <conditionalFormatting sqref="N6:N7">
    <cfRule type="cellIs" dxfId="72" priority="121" stopIfTrue="1" operator="greaterThan">
      <formula>0</formula>
    </cfRule>
  </conditionalFormatting>
  <conditionalFormatting sqref="N5">
    <cfRule type="colorScale" priority="120">
      <colorScale>
        <cfvo type="num" val="1"/>
        <cfvo type="num" val="100000"/>
        <color theme="0" tint="-0.14999847407452621"/>
        <color theme="0" tint="-0.14999847407452621"/>
      </colorScale>
    </cfRule>
  </conditionalFormatting>
  <conditionalFormatting sqref="N6:N7">
    <cfRule type="cellIs" dxfId="71" priority="119" stopIfTrue="1" operator="greaterThan">
      <formula>0</formula>
    </cfRule>
  </conditionalFormatting>
  <conditionalFormatting sqref="L5">
    <cfRule type="colorScale" priority="118">
      <colorScale>
        <cfvo type="num" val="1"/>
        <cfvo type="num" val="100000"/>
        <color theme="0" tint="-0.14999847407452621"/>
        <color theme="0" tint="-0.14999847407452621"/>
      </colorScale>
    </cfRule>
  </conditionalFormatting>
  <conditionalFormatting sqref="L6:L7">
    <cfRule type="cellIs" dxfId="70" priority="117" stopIfTrue="1" operator="greaterThan">
      <formula>0</formula>
    </cfRule>
  </conditionalFormatting>
  <conditionalFormatting sqref="L5">
    <cfRule type="colorScale" priority="116">
      <colorScale>
        <cfvo type="num" val="1"/>
        <cfvo type="num" val="100000"/>
        <color theme="0" tint="-0.14999847407452621"/>
        <color theme="0" tint="-0.14999847407452621"/>
      </colorScale>
    </cfRule>
  </conditionalFormatting>
  <conditionalFormatting sqref="L6:L7">
    <cfRule type="cellIs" dxfId="69" priority="115" stopIfTrue="1" operator="greaterThan">
      <formula>0</formula>
    </cfRule>
  </conditionalFormatting>
  <conditionalFormatting sqref="M6:M7">
    <cfRule type="cellIs" dxfId="68" priority="114" stopIfTrue="1" operator="greaterThan">
      <formula>0</formula>
    </cfRule>
  </conditionalFormatting>
  <conditionalFormatting sqref="N5">
    <cfRule type="colorScale" priority="113">
      <colorScale>
        <cfvo type="num" val="1"/>
        <cfvo type="num" val="100000"/>
        <color theme="0" tint="-0.14999847407452621"/>
        <color theme="0" tint="-0.14999847407452621"/>
      </colorScale>
    </cfRule>
  </conditionalFormatting>
  <conditionalFormatting sqref="N6:N7">
    <cfRule type="cellIs" dxfId="67" priority="112" stopIfTrue="1" operator="greaterThan">
      <formula>0</formula>
    </cfRule>
  </conditionalFormatting>
  <conditionalFormatting sqref="N5">
    <cfRule type="colorScale" priority="111">
      <colorScale>
        <cfvo type="num" val="1"/>
        <cfvo type="num" val="100000"/>
        <color theme="0" tint="-0.14999847407452621"/>
        <color theme="0" tint="-0.14999847407452621"/>
      </colorScale>
    </cfRule>
  </conditionalFormatting>
  <conditionalFormatting sqref="N6:N7">
    <cfRule type="cellIs" dxfId="66" priority="110" stopIfTrue="1" operator="greaterThan">
      <formula>0</formula>
    </cfRule>
  </conditionalFormatting>
  <conditionalFormatting sqref="L5">
    <cfRule type="colorScale" priority="109">
      <colorScale>
        <cfvo type="num" val="1"/>
        <cfvo type="num" val="100000"/>
        <color theme="0" tint="-0.14999847407452621"/>
        <color theme="0" tint="-0.14999847407452621"/>
      </colorScale>
    </cfRule>
  </conditionalFormatting>
  <conditionalFormatting sqref="L6:L7">
    <cfRule type="cellIs" dxfId="65" priority="108" stopIfTrue="1" operator="greaterThan">
      <formula>0</formula>
    </cfRule>
  </conditionalFormatting>
  <conditionalFormatting sqref="L5">
    <cfRule type="colorScale" priority="107">
      <colorScale>
        <cfvo type="num" val="1"/>
        <cfvo type="num" val="100000"/>
        <color theme="0" tint="-0.14999847407452621"/>
        <color theme="0" tint="-0.14999847407452621"/>
      </colorScale>
    </cfRule>
  </conditionalFormatting>
  <conditionalFormatting sqref="L6:L7">
    <cfRule type="cellIs" dxfId="64" priority="106" stopIfTrue="1" operator="greaterThan">
      <formula>0</formula>
    </cfRule>
  </conditionalFormatting>
  <conditionalFormatting sqref="N5">
    <cfRule type="colorScale" priority="105">
      <colorScale>
        <cfvo type="num" val="1"/>
        <cfvo type="num" val="100000"/>
        <color theme="0" tint="-0.14999847407452621"/>
        <color theme="0" tint="-0.14999847407452621"/>
      </colorScale>
    </cfRule>
  </conditionalFormatting>
  <conditionalFormatting sqref="N6:N7">
    <cfRule type="cellIs" dxfId="63" priority="104" stopIfTrue="1" operator="greaterThan">
      <formula>0</formula>
    </cfRule>
  </conditionalFormatting>
  <conditionalFormatting sqref="N5">
    <cfRule type="colorScale" priority="103">
      <colorScale>
        <cfvo type="num" val="1"/>
        <cfvo type="num" val="100000"/>
        <color theme="0" tint="-0.14999847407452621"/>
        <color theme="0" tint="-0.14999847407452621"/>
      </colorScale>
    </cfRule>
  </conditionalFormatting>
  <conditionalFormatting sqref="N6:N7">
    <cfRule type="cellIs" dxfId="62" priority="102" stopIfTrue="1" operator="greaterThan">
      <formula>0</formula>
    </cfRule>
  </conditionalFormatting>
  <conditionalFormatting sqref="M6:M7">
    <cfRule type="cellIs" dxfId="61" priority="101" stopIfTrue="1" operator="greaterThan">
      <formula>0</formula>
    </cfRule>
  </conditionalFormatting>
  <conditionalFormatting sqref="N5">
    <cfRule type="colorScale" priority="100">
      <colorScale>
        <cfvo type="num" val="1"/>
        <cfvo type="num" val="100000"/>
        <color theme="0" tint="-0.14999847407452621"/>
        <color theme="0" tint="-0.14999847407452621"/>
      </colorScale>
    </cfRule>
  </conditionalFormatting>
  <conditionalFormatting sqref="N6:N7">
    <cfRule type="cellIs" dxfId="60" priority="99" stopIfTrue="1" operator="greaterThan">
      <formula>0</formula>
    </cfRule>
  </conditionalFormatting>
  <conditionalFormatting sqref="N5">
    <cfRule type="colorScale" priority="98">
      <colorScale>
        <cfvo type="num" val="1"/>
        <cfvo type="num" val="100000"/>
        <color theme="0" tint="-0.14999847407452621"/>
        <color theme="0" tint="-0.14999847407452621"/>
      </colorScale>
    </cfRule>
  </conditionalFormatting>
  <conditionalFormatting sqref="N6:N7">
    <cfRule type="cellIs" dxfId="59" priority="97" stopIfTrue="1" operator="greaterThan">
      <formula>0</formula>
    </cfRule>
  </conditionalFormatting>
  <conditionalFormatting sqref="L5">
    <cfRule type="colorScale" priority="96">
      <colorScale>
        <cfvo type="num" val="1"/>
        <cfvo type="num" val="100000"/>
        <color theme="0" tint="-0.14999847407452621"/>
        <color theme="0" tint="-0.14999847407452621"/>
      </colorScale>
    </cfRule>
  </conditionalFormatting>
  <conditionalFormatting sqref="L6:L7">
    <cfRule type="cellIs" dxfId="58" priority="95" stopIfTrue="1" operator="greaterThan">
      <formula>0</formula>
    </cfRule>
  </conditionalFormatting>
  <conditionalFormatting sqref="L5">
    <cfRule type="colorScale" priority="94">
      <colorScale>
        <cfvo type="num" val="1"/>
        <cfvo type="num" val="100000"/>
        <color theme="0" tint="-0.14999847407452621"/>
        <color theme="0" tint="-0.14999847407452621"/>
      </colorScale>
    </cfRule>
  </conditionalFormatting>
  <conditionalFormatting sqref="L6:L7">
    <cfRule type="cellIs" dxfId="57" priority="93" stopIfTrue="1" operator="greaterThan">
      <formula>0</formula>
    </cfRule>
  </conditionalFormatting>
  <conditionalFormatting sqref="N5">
    <cfRule type="colorScale" priority="92">
      <colorScale>
        <cfvo type="num" val="1"/>
        <cfvo type="num" val="100000"/>
        <color theme="0" tint="-0.14999847407452621"/>
        <color theme="0" tint="-0.14999847407452621"/>
      </colorScale>
    </cfRule>
  </conditionalFormatting>
  <conditionalFormatting sqref="N6:N7">
    <cfRule type="cellIs" dxfId="56" priority="91" stopIfTrue="1" operator="greaterThan">
      <formula>0</formula>
    </cfRule>
  </conditionalFormatting>
  <conditionalFormatting sqref="N5">
    <cfRule type="colorScale" priority="90">
      <colorScale>
        <cfvo type="num" val="1"/>
        <cfvo type="num" val="100000"/>
        <color theme="0" tint="-0.14999847407452621"/>
        <color theme="0" tint="-0.14999847407452621"/>
      </colorScale>
    </cfRule>
  </conditionalFormatting>
  <conditionalFormatting sqref="N6:N7">
    <cfRule type="cellIs" dxfId="55" priority="89" stopIfTrue="1" operator="greaterThan">
      <formula>0</formula>
    </cfRule>
  </conditionalFormatting>
  <conditionalFormatting sqref="N5">
    <cfRule type="colorScale" priority="88">
      <colorScale>
        <cfvo type="num" val="1"/>
        <cfvo type="num" val="100000"/>
        <color theme="0" tint="-0.14999847407452621"/>
        <color theme="0" tint="-0.14999847407452621"/>
      </colorScale>
    </cfRule>
  </conditionalFormatting>
  <conditionalFormatting sqref="N6:N7">
    <cfRule type="cellIs" dxfId="54" priority="87" stopIfTrue="1" operator="greaterThan">
      <formula>0</formula>
    </cfRule>
  </conditionalFormatting>
  <conditionalFormatting sqref="N5">
    <cfRule type="colorScale" priority="86">
      <colorScale>
        <cfvo type="num" val="1"/>
        <cfvo type="num" val="100000"/>
        <color theme="0" tint="-0.14999847407452621"/>
        <color theme="0" tint="-0.14999847407452621"/>
      </colorScale>
    </cfRule>
  </conditionalFormatting>
  <conditionalFormatting sqref="N6:N7">
    <cfRule type="cellIs" dxfId="53" priority="85" stopIfTrue="1" operator="greaterThan">
      <formula>0</formula>
    </cfRule>
  </conditionalFormatting>
  <conditionalFormatting sqref="S6:S7">
    <cfRule type="cellIs" dxfId="52" priority="84" stopIfTrue="1" operator="greaterThan">
      <formula>0</formula>
    </cfRule>
  </conditionalFormatting>
  <conditionalFormatting sqref="T5">
    <cfRule type="colorScale" priority="83">
      <colorScale>
        <cfvo type="num" val="1"/>
        <cfvo type="num" val="100000"/>
        <color theme="0" tint="-0.14999847407452621"/>
        <color theme="0" tint="-0.14999847407452621"/>
      </colorScale>
    </cfRule>
  </conditionalFormatting>
  <conditionalFormatting sqref="T6:T7">
    <cfRule type="cellIs" dxfId="51" priority="82" stopIfTrue="1" operator="greaterThan">
      <formula>0</formula>
    </cfRule>
  </conditionalFormatting>
  <conditionalFormatting sqref="T5">
    <cfRule type="colorScale" priority="81">
      <colorScale>
        <cfvo type="num" val="1"/>
        <cfvo type="num" val="100000"/>
        <color theme="0" tint="-0.14999847407452621"/>
        <color theme="0" tint="-0.14999847407452621"/>
      </colorScale>
    </cfRule>
  </conditionalFormatting>
  <conditionalFormatting sqref="T6:T7">
    <cfRule type="cellIs" dxfId="50" priority="80" stopIfTrue="1" operator="greaterThan">
      <formula>0</formula>
    </cfRule>
  </conditionalFormatting>
  <conditionalFormatting sqref="Q6:Q7">
    <cfRule type="cellIs" dxfId="49" priority="79" stopIfTrue="1" operator="greaterThan">
      <formula>0</formula>
    </cfRule>
  </conditionalFormatting>
  <conditionalFormatting sqref="R5">
    <cfRule type="colorScale" priority="78">
      <colorScale>
        <cfvo type="num" val="1"/>
        <cfvo type="num" val="100000"/>
        <color theme="0" tint="-0.14999847407452621"/>
        <color theme="0" tint="-0.14999847407452621"/>
      </colorScale>
    </cfRule>
  </conditionalFormatting>
  <conditionalFormatting sqref="R6:R7">
    <cfRule type="cellIs" dxfId="48" priority="77" stopIfTrue="1" operator="greaterThan">
      <formula>0</formula>
    </cfRule>
  </conditionalFormatting>
  <conditionalFormatting sqref="R5">
    <cfRule type="colorScale" priority="76">
      <colorScale>
        <cfvo type="num" val="1"/>
        <cfvo type="num" val="100000"/>
        <color theme="0" tint="-0.14999847407452621"/>
        <color theme="0" tint="-0.14999847407452621"/>
      </colorScale>
    </cfRule>
  </conditionalFormatting>
  <conditionalFormatting sqref="R6:R7">
    <cfRule type="cellIs" dxfId="47" priority="75" stopIfTrue="1" operator="greaterThan">
      <formula>0</formula>
    </cfRule>
  </conditionalFormatting>
  <conditionalFormatting sqref="P5">
    <cfRule type="colorScale" priority="74">
      <colorScale>
        <cfvo type="num" val="1"/>
        <cfvo type="num" val="100000"/>
        <color theme="0" tint="-0.14999847407452621"/>
        <color theme="0" tint="-0.14999847407452621"/>
      </colorScale>
    </cfRule>
  </conditionalFormatting>
  <conditionalFormatting sqref="P6:P7">
    <cfRule type="cellIs" dxfId="46" priority="73" stopIfTrue="1" operator="greaterThan">
      <formula>0</formula>
    </cfRule>
  </conditionalFormatting>
  <conditionalFormatting sqref="P5">
    <cfRule type="colorScale" priority="72">
      <colorScale>
        <cfvo type="num" val="1"/>
        <cfvo type="num" val="100000"/>
        <color theme="0" tint="-0.14999847407452621"/>
        <color theme="0" tint="-0.14999847407452621"/>
      </colorScale>
    </cfRule>
  </conditionalFormatting>
  <conditionalFormatting sqref="P6:P7">
    <cfRule type="cellIs" dxfId="45" priority="71" stopIfTrue="1" operator="greaterThan">
      <formula>0</formula>
    </cfRule>
  </conditionalFormatting>
  <conditionalFormatting sqref="S6:S7">
    <cfRule type="cellIs" dxfId="44" priority="70" stopIfTrue="1" operator="greaterThan">
      <formula>0</formula>
    </cfRule>
  </conditionalFormatting>
  <conditionalFormatting sqref="T5">
    <cfRule type="colorScale" priority="69">
      <colorScale>
        <cfvo type="num" val="1"/>
        <cfvo type="num" val="100000"/>
        <color theme="0" tint="-0.14999847407452621"/>
        <color theme="0" tint="-0.14999847407452621"/>
      </colorScale>
    </cfRule>
  </conditionalFormatting>
  <conditionalFormatting sqref="T6:T7">
    <cfRule type="cellIs" dxfId="43" priority="68" stopIfTrue="1" operator="greaterThan">
      <formula>0</formula>
    </cfRule>
  </conditionalFormatting>
  <conditionalFormatting sqref="T5">
    <cfRule type="colorScale" priority="67">
      <colorScale>
        <cfvo type="num" val="1"/>
        <cfvo type="num" val="100000"/>
        <color theme="0" tint="-0.14999847407452621"/>
        <color theme="0" tint="-0.14999847407452621"/>
      </colorScale>
    </cfRule>
  </conditionalFormatting>
  <conditionalFormatting sqref="T6:T7">
    <cfRule type="cellIs" dxfId="42" priority="66" stopIfTrue="1" operator="greaterThan">
      <formula>0</formula>
    </cfRule>
  </conditionalFormatting>
  <conditionalFormatting sqref="R5">
    <cfRule type="colorScale" priority="65">
      <colorScale>
        <cfvo type="num" val="1"/>
        <cfvo type="num" val="100000"/>
        <color theme="0" tint="-0.14999847407452621"/>
        <color theme="0" tint="-0.14999847407452621"/>
      </colorScale>
    </cfRule>
  </conditionalFormatting>
  <conditionalFormatting sqref="R6:R7">
    <cfRule type="cellIs" dxfId="41" priority="64" stopIfTrue="1" operator="greaterThan">
      <formula>0</formula>
    </cfRule>
  </conditionalFormatting>
  <conditionalFormatting sqref="R5">
    <cfRule type="colorScale" priority="63">
      <colorScale>
        <cfvo type="num" val="1"/>
        <cfvo type="num" val="100000"/>
        <color theme="0" tint="-0.14999847407452621"/>
        <color theme="0" tint="-0.14999847407452621"/>
      </colorScale>
    </cfRule>
  </conditionalFormatting>
  <conditionalFormatting sqref="R6:R7">
    <cfRule type="cellIs" dxfId="40" priority="62" stopIfTrue="1" operator="greaterThan">
      <formula>0</formula>
    </cfRule>
  </conditionalFormatting>
  <conditionalFormatting sqref="S6:S7">
    <cfRule type="cellIs" dxfId="39" priority="61" stopIfTrue="1" operator="greaterThan">
      <formula>0</formula>
    </cfRule>
  </conditionalFormatting>
  <conditionalFormatting sqref="T5">
    <cfRule type="colorScale" priority="60">
      <colorScale>
        <cfvo type="num" val="1"/>
        <cfvo type="num" val="100000"/>
        <color theme="0" tint="-0.14999847407452621"/>
        <color theme="0" tint="-0.14999847407452621"/>
      </colorScale>
    </cfRule>
  </conditionalFormatting>
  <conditionalFormatting sqref="T6:T7">
    <cfRule type="cellIs" dxfId="38" priority="59" stopIfTrue="1" operator="greaterThan">
      <formula>0</formula>
    </cfRule>
  </conditionalFormatting>
  <conditionalFormatting sqref="T5">
    <cfRule type="colorScale" priority="58">
      <colorScale>
        <cfvo type="num" val="1"/>
        <cfvo type="num" val="100000"/>
        <color theme="0" tint="-0.14999847407452621"/>
        <color theme="0" tint="-0.14999847407452621"/>
      </colorScale>
    </cfRule>
  </conditionalFormatting>
  <conditionalFormatting sqref="T6:T7">
    <cfRule type="cellIs" dxfId="37" priority="57" stopIfTrue="1" operator="greaterThan">
      <formula>0</formula>
    </cfRule>
  </conditionalFormatting>
  <conditionalFormatting sqref="R5">
    <cfRule type="colorScale" priority="56">
      <colorScale>
        <cfvo type="num" val="1"/>
        <cfvo type="num" val="100000"/>
        <color theme="0" tint="-0.14999847407452621"/>
        <color theme="0" tint="-0.14999847407452621"/>
      </colorScale>
    </cfRule>
  </conditionalFormatting>
  <conditionalFormatting sqref="R6:R7">
    <cfRule type="cellIs" dxfId="36" priority="55" stopIfTrue="1" operator="greaterThan">
      <formula>0</formula>
    </cfRule>
  </conditionalFormatting>
  <conditionalFormatting sqref="R5">
    <cfRule type="colorScale" priority="54">
      <colorScale>
        <cfvo type="num" val="1"/>
        <cfvo type="num" val="100000"/>
        <color theme="0" tint="-0.14999847407452621"/>
        <color theme="0" tint="-0.14999847407452621"/>
      </colorScale>
    </cfRule>
  </conditionalFormatting>
  <conditionalFormatting sqref="R6:R7">
    <cfRule type="cellIs" dxfId="35" priority="53" stopIfTrue="1" operator="greaterThan">
      <formula>0</formula>
    </cfRule>
  </conditionalFormatting>
  <conditionalFormatting sqref="T5">
    <cfRule type="colorScale" priority="52">
      <colorScale>
        <cfvo type="num" val="1"/>
        <cfvo type="num" val="100000"/>
        <color theme="0" tint="-0.14999847407452621"/>
        <color theme="0" tint="-0.14999847407452621"/>
      </colorScale>
    </cfRule>
  </conditionalFormatting>
  <conditionalFormatting sqref="T6:T7">
    <cfRule type="cellIs" dxfId="34" priority="51" stopIfTrue="1" operator="greaterThan">
      <formula>0</formula>
    </cfRule>
  </conditionalFormatting>
  <conditionalFormatting sqref="T5">
    <cfRule type="colorScale" priority="50">
      <colorScale>
        <cfvo type="num" val="1"/>
        <cfvo type="num" val="100000"/>
        <color theme="0" tint="-0.14999847407452621"/>
        <color theme="0" tint="-0.14999847407452621"/>
      </colorScale>
    </cfRule>
  </conditionalFormatting>
  <conditionalFormatting sqref="T6:T7">
    <cfRule type="cellIs" dxfId="33" priority="49" stopIfTrue="1" operator="greaterThan">
      <formula>0</formula>
    </cfRule>
  </conditionalFormatting>
  <conditionalFormatting sqref="S6:S7">
    <cfRule type="cellIs" dxfId="32" priority="48" stopIfTrue="1" operator="greaterThan">
      <formula>0</formula>
    </cfRule>
  </conditionalFormatting>
  <conditionalFormatting sqref="T5">
    <cfRule type="colorScale" priority="47">
      <colorScale>
        <cfvo type="num" val="1"/>
        <cfvo type="num" val="100000"/>
        <color theme="0" tint="-0.14999847407452621"/>
        <color theme="0" tint="-0.14999847407452621"/>
      </colorScale>
    </cfRule>
  </conditionalFormatting>
  <conditionalFormatting sqref="T6:T7">
    <cfRule type="cellIs" dxfId="31" priority="46" stopIfTrue="1" operator="greaterThan">
      <formula>0</formula>
    </cfRule>
  </conditionalFormatting>
  <conditionalFormatting sqref="T5">
    <cfRule type="colorScale" priority="45">
      <colorScale>
        <cfvo type="num" val="1"/>
        <cfvo type="num" val="100000"/>
        <color theme="0" tint="-0.14999847407452621"/>
        <color theme="0" tint="-0.14999847407452621"/>
      </colorScale>
    </cfRule>
  </conditionalFormatting>
  <conditionalFormatting sqref="T6:T7">
    <cfRule type="cellIs" dxfId="30" priority="44" stopIfTrue="1" operator="greaterThan">
      <formula>0</formula>
    </cfRule>
  </conditionalFormatting>
  <conditionalFormatting sqref="R5">
    <cfRule type="colorScale" priority="43">
      <colorScale>
        <cfvo type="num" val="1"/>
        <cfvo type="num" val="100000"/>
        <color theme="0" tint="-0.14999847407452621"/>
        <color theme="0" tint="-0.14999847407452621"/>
      </colorScale>
    </cfRule>
  </conditionalFormatting>
  <conditionalFormatting sqref="R6:R7">
    <cfRule type="cellIs" dxfId="29" priority="42" stopIfTrue="1" operator="greaterThan">
      <formula>0</formula>
    </cfRule>
  </conditionalFormatting>
  <conditionalFormatting sqref="R5">
    <cfRule type="colorScale" priority="41">
      <colorScale>
        <cfvo type="num" val="1"/>
        <cfvo type="num" val="100000"/>
        <color theme="0" tint="-0.14999847407452621"/>
        <color theme="0" tint="-0.14999847407452621"/>
      </colorScale>
    </cfRule>
  </conditionalFormatting>
  <conditionalFormatting sqref="R6:R7">
    <cfRule type="cellIs" dxfId="28" priority="40" stopIfTrue="1" operator="greaterThan">
      <formula>0</formula>
    </cfRule>
  </conditionalFormatting>
  <conditionalFormatting sqref="T5">
    <cfRule type="colorScale" priority="39">
      <colorScale>
        <cfvo type="num" val="1"/>
        <cfvo type="num" val="100000"/>
        <color theme="0" tint="-0.14999847407452621"/>
        <color theme="0" tint="-0.14999847407452621"/>
      </colorScale>
    </cfRule>
  </conditionalFormatting>
  <conditionalFormatting sqref="T6:T7">
    <cfRule type="cellIs" dxfId="27" priority="38" stopIfTrue="1" operator="greaterThan">
      <formula>0</formula>
    </cfRule>
  </conditionalFormatting>
  <conditionalFormatting sqref="T5">
    <cfRule type="colorScale" priority="37">
      <colorScale>
        <cfvo type="num" val="1"/>
        <cfvo type="num" val="100000"/>
        <color theme="0" tint="-0.14999847407452621"/>
        <color theme="0" tint="-0.14999847407452621"/>
      </colorScale>
    </cfRule>
  </conditionalFormatting>
  <conditionalFormatting sqref="T6:T7">
    <cfRule type="cellIs" dxfId="26" priority="36" stopIfTrue="1" operator="greaterThan">
      <formula>0</formula>
    </cfRule>
  </conditionalFormatting>
  <conditionalFormatting sqref="T5">
    <cfRule type="colorScale" priority="35">
      <colorScale>
        <cfvo type="num" val="1"/>
        <cfvo type="num" val="100000"/>
        <color theme="0" tint="-0.14999847407452621"/>
        <color theme="0" tint="-0.14999847407452621"/>
      </colorScale>
    </cfRule>
  </conditionalFormatting>
  <conditionalFormatting sqref="T6:T7">
    <cfRule type="cellIs" dxfId="25" priority="34" stopIfTrue="1" operator="greaterThan">
      <formula>0</formula>
    </cfRule>
  </conditionalFormatting>
  <conditionalFormatting sqref="T5">
    <cfRule type="colorScale" priority="33">
      <colorScale>
        <cfvo type="num" val="1"/>
        <cfvo type="num" val="100000"/>
        <color theme="0" tint="-0.14999847407452621"/>
        <color theme="0" tint="-0.14999847407452621"/>
      </colorScale>
    </cfRule>
  </conditionalFormatting>
  <conditionalFormatting sqref="T6:T7">
    <cfRule type="cellIs" dxfId="24" priority="32" stopIfTrue="1" operator="greaterThan">
      <formula>0</formula>
    </cfRule>
  </conditionalFormatting>
  <conditionalFormatting sqref="D51:T51">
    <cfRule type="cellIs" dxfId="23" priority="31" operator="greaterThan">
      <formula>0</formula>
    </cfRule>
  </conditionalFormatting>
  <conditionalFormatting sqref="U51">
    <cfRule type="cellIs" dxfId="22" priority="29" operator="greaterThan">
      <formula>0</formula>
    </cfRule>
  </conditionalFormatting>
  <conditionalFormatting sqref="U52">
    <cfRule type="cellIs" dxfId="21" priority="28" operator="greaterThan">
      <formula>0</formula>
    </cfRule>
  </conditionalFormatting>
  <conditionalFormatting sqref="D53:T53">
    <cfRule type="cellIs" dxfId="20" priority="27" operator="greaterThan">
      <formula>0</formula>
    </cfRule>
  </conditionalFormatting>
  <conditionalFormatting sqref="D54:T54">
    <cfRule type="cellIs" dxfId="19" priority="20" operator="greaterThan">
      <formula>0</formula>
    </cfRule>
  </conditionalFormatting>
  <conditionalFormatting sqref="D52:T52">
    <cfRule type="cellIs" dxfId="18" priority="22" operator="greaterThan">
      <formula>0</formula>
    </cfRule>
  </conditionalFormatting>
  <conditionalFormatting sqref="D55:T55">
    <cfRule type="cellIs" dxfId="17" priority="19" operator="greaterThan">
      <formula>0</formula>
    </cfRule>
  </conditionalFormatting>
  <conditionalFormatting sqref="D56:T56">
    <cfRule type="cellIs" dxfId="16" priority="18" operator="greaterThan">
      <formula>0</formula>
    </cfRule>
  </conditionalFormatting>
  <conditionalFormatting sqref="U55">
    <cfRule type="cellIs" dxfId="15" priority="17" operator="greaterThan">
      <formula>0</formula>
    </cfRule>
  </conditionalFormatting>
  <conditionalFormatting sqref="U56">
    <cfRule type="cellIs" dxfId="14" priority="16" operator="greaterThan">
      <formula>0</formula>
    </cfRule>
  </conditionalFormatting>
  <conditionalFormatting sqref="U54">
    <cfRule type="cellIs" dxfId="13" priority="15" operator="greaterThan">
      <formula>0</formula>
    </cfRule>
  </conditionalFormatting>
  <conditionalFormatting sqref="U53">
    <cfRule type="cellIs" dxfId="12" priority="14" operator="greaterThan">
      <formula>0</formula>
    </cfRule>
  </conditionalFormatting>
  <conditionalFormatting sqref="D39:T39">
    <cfRule type="cellIs" dxfId="11" priority="13" operator="greaterThan">
      <formula>0</formula>
    </cfRule>
  </conditionalFormatting>
  <conditionalFormatting sqref="D40:T40">
    <cfRule type="cellIs" dxfId="10" priority="9" operator="greaterThan">
      <formula>0</formula>
    </cfRule>
  </conditionalFormatting>
  <conditionalFormatting sqref="U40">
    <cfRule type="cellIs" dxfId="9" priority="8" operator="greaterThan">
      <formula>0</formula>
    </cfRule>
  </conditionalFormatting>
  <conditionalFormatting sqref="U39">
    <cfRule type="cellIs" dxfId="8" priority="7" operator="greaterThan">
      <formula>0</formula>
    </cfRule>
  </conditionalFormatting>
  <conditionalFormatting sqref="D85:J85">
    <cfRule type="cellIs" dxfId="7" priority="6" operator="greaterThan">
      <formula>0</formula>
    </cfRule>
  </conditionalFormatting>
  <conditionalFormatting sqref="D86:J86">
    <cfRule type="cellIs" dxfId="6" priority="5" operator="greaterThan">
      <formula>0</formula>
    </cfRule>
  </conditionalFormatting>
  <conditionalFormatting sqref="N83:T83">
    <cfRule type="cellIs" dxfId="5" priority="4" operator="greaterThan">
      <formula>0</formula>
    </cfRule>
  </conditionalFormatting>
  <conditionalFormatting sqref="N84:T84">
    <cfRule type="cellIs" dxfId="4" priority="3" operator="greaterThan">
      <formula>0</formula>
    </cfRule>
  </conditionalFormatting>
  <conditionalFormatting sqref="L85:R85">
    <cfRule type="cellIs" dxfId="3" priority="2" operator="greaterThan">
      <formula>0</formula>
    </cfRule>
  </conditionalFormatting>
  <conditionalFormatting sqref="L86:R86">
    <cfRule type="cellIs" dxfId="2" priority="1" operator="greaterThan">
      <formula>0</formula>
    </cfRule>
  </conditionalFormatting>
  <pageMargins left="0.70866141732283472" right="0.70866141732283472" top="0.74803149606299213" bottom="0.39370078740157483" header="0.31496062992125984" footer="0.19685039370078741"/>
  <pageSetup paperSize="9" scale="86" fitToHeight="0" orientation="landscape" r:id="rId1"/>
  <headerFooter differentFirst="1">
    <oddFooter>&amp;CPage &amp;P&amp;RCosta Paola</oddFooter>
    <firstHeader xml:space="preserve">&amp;C&amp;"-,Gras"&amp;36&amp;UJournal de travail : pré-TPI
</first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zoomScale="70" zoomScaleNormal="70" workbookViewId="0">
      <selection activeCell="M17" sqref="M16:M17"/>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4" customWidth="1"/>
    <col min="61" max="61" width="9" customWidth="1"/>
    <col min="62" max="62" width="9.28515625" customWidth="1"/>
    <col min="63" max="63" width="8.7109375" customWidth="1"/>
    <col min="64" max="64" width="9.7109375" customWidth="1"/>
    <col min="65" max="65" width="9.8554687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58</v>
      </c>
      <c r="C4" s="248">
        <f>WEEKNUM(C3,1)</f>
        <v>6</v>
      </c>
      <c r="D4" s="248"/>
      <c r="E4" s="248"/>
      <c r="F4" s="248"/>
      <c r="G4" s="248"/>
      <c r="H4" s="248"/>
      <c r="I4" s="248"/>
      <c r="J4" s="248">
        <f t="shared" ref="J4" si="1">WEEKNUM(J3,1)</f>
        <v>7</v>
      </c>
      <c r="K4" s="248"/>
      <c r="L4" s="248"/>
      <c r="M4" s="248"/>
      <c r="N4" s="248"/>
      <c r="O4" s="248"/>
      <c r="P4" s="248"/>
      <c r="Q4" s="248">
        <f t="shared" ref="Q4" si="2">WEEKNUM(Q3,1)</f>
        <v>8</v>
      </c>
      <c r="R4" s="248"/>
      <c r="S4" s="248"/>
      <c r="T4" s="248"/>
      <c r="U4" s="248"/>
      <c r="V4" s="248"/>
      <c r="W4" s="248"/>
      <c r="X4" s="248">
        <f t="shared" ref="X4" si="3">WEEKNUM(X3,1)</f>
        <v>9</v>
      </c>
      <c r="Y4" s="248"/>
      <c r="Z4" s="248"/>
      <c r="AA4" s="248"/>
      <c r="AB4" s="248"/>
      <c r="AC4" s="248"/>
      <c r="AD4" s="248"/>
      <c r="AE4" s="248">
        <f t="shared" ref="AE4" si="4">WEEKNUM(AE3,1)</f>
        <v>10</v>
      </c>
      <c r="AF4" s="248"/>
      <c r="AG4" s="248"/>
      <c r="AH4" s="248"/>
      <c r="AI4" s="248"/>
      <c r="AJ4" s="248"/>
      <c r="AK4" s="248"/>
      <c r="AL4" s="248">
        <f t="shared" ref="AL4" si="5">WEEKNUM(AL3,1)</f>
        <v>11</v>
      </c>
      <c r="AM4" s="248"/>
      <c r="AN4" s="248"/>
      <c r="AO4" s="248"/>
      <c r="AP4" s="248"/>
      <c r="AQ4" s="248"/>
      <c r="AR4" s="248"/>
      <c r="AS4" s="248">
        <f t="shared" ref="AS4" si="6">WEEKNUM(AS3,1)</f>
        <v>12</v>
      </c>
      <c r="AT4" s="248"/>
      <c r="AU4" s="248"/>
      <c r="AV4" s="248"/>
      <c r="AW4" s="248"/>
      <c r="AX4" s="248"/>
      <c r="AY4" s="248"/>
      <c r="AZ4" s="248">
        <f t="shared" ref="AZ4" si="7">WEEKNUM(AZ3,1)</f>
        <v>13</v>
      </c>
      <c r="BA4" s="248"/>
      <c r="BB4" s="248"/>
      <c r="BC4" s="248"/>
      <c r="BD4" s="248"/>
      <c r="BE4" s="248"/>
      <c r="BF4" s="248"/>
      <c r="BG4" s="123">
        <f>WEEKNUM(BG3,1)</f>
        <v>14</v>
      </c>
      <c r="BH4" s="88"/>
      <c r="BI4" s="88"/>
      <c r="BJ4" s="88"/>
      <c r="BK4" s="88"/>
      <c r="BL4" s="88"/>
      <c r="BM4" s="88"/>
    </row>
    <row r="5" spans="2:65" s="68" customFormat="1" ht="15.75" customHeight="1" x14ac:dyDescent="0.25">
      <c r="B5" s="216" t="str">
        <f>Base!F3</f>
        <v>1 Analyse</v>
      </c>
      <c r="C5" s="217"/>
      <c r="D5" s="217"/>
      <c r="E5" s="217"/>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c r="AE5" s="217"/>
      <c r="AF5" s="217"/>
      <c r="AG5" s="217"/>
      <c r="AH5" s="217"/>
      <c r="AI5" s="217"/>
      <c r="AJ5" s="217"/>
      <c r="AK5" s="217"/>
      <c r="AL5" s="217"/>
      <c r="AM5" s="217"/>
      <c r="AN5" s="217"/>
      <c r="AO5" s="217"/>
      <c r="AP5" s="217"/>
      <c r="AQ5" s="217"/>
      <c r="AR5" s="217"/>
      <c r="AS5" s="217"/>
      <c r="AT5" s="217"/>
      <c r="AU5" s="217"/>
      <c r="AV5" s="217"/>
      <c r="AW5" s="217"/>
      <c r="AX5" s="217"/>
      <c r="AY5" s="217"/>
      <c r="AZ5" s="217"/>
      <c r="BA5" s="217"/>
      <c r="BB5" s="217"/>
      <c r="BC5" s="217"/>
      <c r="BD5" s="217"/>
      <c r="BE5" s="217"/>
      <c r="BF5" s="217"/>
      <c r="BG5" s="218"/>
    </row>
    <row r="6" spans="2:65" s="68" customFormat="1" ht="15.75" customHeight="1" thickBot="1" x14ac:dyDescent="0.3">
      <c r="B6" s="219"/>
      <c r="C6" s="220"/>
      <c r="D6" s="220"/>
      <c r="E6" s="220"/>
      <c r="F6" s="220"/>
      <c r="G6" s="220"/>
      <c r="H6" s="220"/>
      <c r="I6" s="220"/>
      <c r="J6" s="220"/>
      <c r="K6" s="220"/>
      <c r="L6" s="220"/>
      <c r="M6" s="220"/>
      <c r="N6" s="220"/>
      <c r="O6" s="220"/>
      <c r="P6" s="220"/>
      <c r="Q6" s="220"/>
      <c r="R6" s="220"/>
      <c r="S6" s="220"/>
      <c r="T6" s="220"/>
      <c r="U6" s="220"/>
      <c r="V6" s="220"/>
      <c r="W6" s="220"/>
      <c r="X6" s="220"/>
      <c r="Y6" s="220"/>
      <c r="Z6" s="220"/>
      <c r="AA6" s="220"/>
      <c r="AB6" s="220"/>
      <c r="AC6" s="220"/>
      <c r="AD6" s="220"/>
      <c r="AE6" s="220"/>
      <c r="AF6" s="220"/>
      <c r="AG6" s="220"/>
      <c r="AH6" s="220"/>
      <c r="AI6" s="220"/>
      <c r="AJ6" s="220"/>
      <c r="AK6" s="220"/>
      <c r="AL6" s="220"/>
      <c r="AM6" s="220"/>
      <c r="AN6" s="220"/>
      <c r="AO6" s="220"/>
      <c r="AP6" s="220"/>
      <c r="AQ6" s="220"/>
      <c r="AR6" s="220"/>
      <c r="AS6" s="220"/>
      <c r="AT6" s="220"/>
      <c r="AU6" s="220"/>
      <c r="AV6" s="220"/>
      <c r="AW6" s="220"/>
      <c r="AX6" s="220"/>
      <c r="AY6" s="220"/>
      <c r="AZ6" s="220"/>
      <c r="BA6" s="220"/>
      <c r="BB6" s="220"/>
      <c r="BC6" s="220"/>
      <c r="BD6" s="220"/>
      <c r="BE6" s="220"/>
      <c r="BF6" s="220"/>
      <c r="BG6" s="221"/>
    </row>
    <row r="7" spans="2:65" ht="15" customHeight="1" x14ac:dyDescent="0.25">
      <c r="B7" s="139" t="str">
        <f>Base!G3</f>
        <v>11 Analyse préliminaire</v>
      </c>
      <c r="C7" s="140"/>
      <c r="D7" s="141"/>
      <c r="E7" s="141"/>
      <c r="F7" s="141"/>
      <c r="G7" s="142"/>
      <c r="H7" s="143"/>
      <c r="I7" s="144"/>
      <c r="J7" s="145"/>
      <c r="K7" s="146"/>
      <c r="L7" s="146"/>
      <c r="M7" s="146"/>
      <c r="N7" s="142"/>
      <c r="O7" s="143"/>
      <c r="P7" s="144"/>
      <c r="Q7" s="145"/>
      <c r="R7" s="146"/>
      <c r="S7" s="146"/>
      <c r="T7" s="146"/>
      <c r="U7" s="142"/>
      <c r="V7" s="251" t="s">
        <v>59</v>
      </c>
      <c r="W7" s="252"/>
      <c r="X7" s="252"/>
      <c r="Y7" s="252"/>
      <c r="Z7" s="252"/>
      <c r="AA7" s="252"/>
      <c r="AB7" s="252"/>
      <c r="AC7" s="252"/>
      <c r="AD7" s="253"/>
      <c r="AE7" s="145"/>
      <c r="AF7" s="146"/>
      <c r="AG7" s="146"/>
      <c r="AH7" s="146"/>
      <c r="AI7" s="142"/>
      <c r="AJ7" s="143"/>
      <c r="AK7" s="144"/>
      <c r="AL7" s="145"/>
      <c r="AM7" s="146"/>
      <c r="AN7" s="146"/>
      <c r="AO7" s="146"/>
      <c r="AP7" s="142"/>
      <c r="AQ7" s="143"/>
      <c r="AR7" s="144"/>
      <c r="AS7" s="145"/>
      <c r="AT7" s="146"/>
      <c r="AU7" s="146"/>
      <c r="AV7" s="146"/>
      <c r="AW7" s="142"/>
      <c r="AX7" s="143"/>
      <c r="AY7" s="144"/>
      <c r="AZ7" s="145"/>
      <c r="BA7" s="146"/>
      <c r="BB7" s="146"/>
      <c r="BC7" s="146"/>
      <c r="BD7" s="142"/>
      <c r="BE7" s="143"/>
      <c r="BF7" s="144"/>
      <c r="BG7" s="147"/>
    </row>
    <row r="8" spans="2:65" x14ac:dyDescent="0.25">
      <c r="B8" s="39" t="str">
        <f>Base!G4</f>
        <v>12 Planification initiale</v>
      </c>
      <c r="C8" s="69"/>
      <c r="D8" s="70"/>
      <c r="E8" s="71"/>
      <c r="F8" s="71"/>
      <c r="G8" s="92"/>
      <c r="H8" s="111"/>
      <c r="I8" s="112"/>
      <c r="J8" s="101"/>
      <c r="K8" s="71"/>
      <c r="L8" s="71"/>
      <c r="M8" s="71"/>
      <c r="N8" s="92"/>
      <c r="O8" s="111"/>
      <c r="P8" s="112"/>
      <c r="Q8" s="101"/>
      <c r="R8" s="71"/>
      <c r="S8" s="71"/>
      <c r="T8" s="71"/>
      <c r="U8" s="92"/>
      <c r="V8" s="242"/>
      <c r="W8" s="243"/>
      <c r="X8" s="243"/>
      <c r="Y8" s="243"/>
      <c r="Z8" s="243"/>
      <c r="AA8" s="243"/>
      <c r="AB8" s="243"/>
      <c r="AC8" s="243"/>
      <c r="AD8" s="244"/>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2"/>
      <c r="D9" s="73"/>
      <c r="E9" s="73"/>
      <c r="F9" s="73"/>
      <c r="G9" s="93"/>
      <c r="H9" s="111"/>
      <c r="I9" s="112"/>
      <c r="J9" s="101"/>
      <c r="K9" s="71"/>
      <c r="L9" s="71"/>
      <c r="M9" s="71"/>
      <c r="N9" s="92"/>
      <c r="O9" s="111"/>
      <c r="P9" s="112"/>
      <c r="Q9" s="101"/>
      <c r="R9" s="71"/>
      <c r="S9" s="71"/>
      <c r="T9" s="71"/>
      <c r="U9" s="92"/>
      <c r="V9" s="242"/>
      <c r="W9" s="243"/>
      <c r="X9" s="243"/>
      <c r="Y9" s="243"/>
      <c r="Z9" s="243"/>
      <c r="AA9" s="243"/>
      <c r="AB9" s="243"/>
      <c r="AC9" s="243"/>
      <c r="AD9" s="244"/>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2"/>
      <c r="D10" s="71"/>
      <c r="E10" s="73"/>
      <c r="F10" s="73"/>
      <c r="G10" s="94"/>
      <c r="H10" s="111"/>
      <c r="I10" s="112"/>
      <c r="J10" s="101"/>
      <c r="K10" s="71"/>
      <c r="L10" s="71"/>
      <c r="M10" s="71"/>
      <c r="N10" s="92"/>
      <c r="O10" s="111"/>
      <c r="P10" s="112"/>
      <c r="Q10" s="101"/>
      <c r="R10" s="71"/>
      <c r="S10" s="71"/>
      <c r="T10" s="71"/>
      <c r="U10" s="92"/>
      <c r="V10" s="242"/>
      <c r="W10" s="243"/>
      <c r="X10" s="243"/>
      <c r="Y10" s="243"/>
      <c r="Z10" s="243"/>
      <c r="AA10" s="243"/>
      <c r="AB10" s="243"/>
      <c r="AC10" s="243"/>
      <c r="AD10" s="244"/>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2"/>
      <c r="D11" s="71"/>
      <c r="E11" s="73"/>
      <c r="F11" s="73"/>
      <c r="G11" s="94"/>
      <c r="H11" s="111"/>
      <c r="I11" s="112"/>
      <c r="J11" s="101"/>
      <c r="K11" s="71"/>
      <c r="L11" s="71"/>
      <c r="M11" s="71"/>
      <c r="N11" s="92"/>
      <c r="O11" s="111"/>
      <c r="P11" s="112"/>
      <c r="Q11" s="101"/>
      <c r="R11" s="71"/>
      <c r="S11" s="71"/>
      <c r="T11" s="71"/>
      <c r="U11" s="92"/>
      <c r="V11" s="242"/>
      <c r="W11" s="243"/>
      <c r="X11" s="243"/>
      <c r="Y11" s="243"/>
      <c r="Z11" s="243"/>
      <c r="AA11" s="243"/>
      <c r="AB11" s="243"/>
      <c r="AC11" s="243"/>
      <c r="AD11" s="244"/>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113"/>
      <c r="D12" s="114"/>
      <c r="E12" s="114"/>
      <c r="F12" s="114"/>
      <c r="G12" s="121"/>
      <c r="H12" s="111"/>
      <c r="I12" s="112"/>
      <c r="J12" s="116"/>
      <c r="K12" s="114"/>
      <c r="L12" s="114"/>
      <c r="M12" s="114"/>
      <c r="N12" s="115"/>
      <c r="O12" s="111"/>
      <c r="P12" s="112"/>
      <c r="Q12" s="116"/>
      <c r="R12" s="114"/>
      <c r="S12" s="114"/>
      <c r="T12" s="114"/>
      <c r="U12" s="115"/>
      <c r="V12" s="242"/>
      <c r="W12" s="243"/>
      <c r="X12" s="243"/>
      <c r="Y12" s="243"/>
      <c r="Z12" s="243"/>
      <c r="AA12" s="243"/>
      <c r="AB12" s="243"/>
      <c r="AC12" s="243"/>
      <c r="AD12" s="244"/>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22" t="str">
        <f>Base!F9</f>
        <v>2 Conception</v>
      </c>
      <c r="C13" s="223"/>
      <c r="D13" s="223"/>
      <c r="E13" s="223"/>
      <c r="F13" s="223"/>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c r="AI13" s="223"/>
      <c r="AJ13" s="223"/>
      <c r="AK13" s="223"/>
      <c r="AL13" s="223"/>
      <c r="AM13" s="223"/>
      <c r="AN13" s="223"/>
      <c r="AO13" s="223"/>
      <c r="AP13" s="223"/>
      <c r="AQ13" s="223"/>
      <c r="AR13" s="223"/>
      <c r="AS13" s="223"/>
      <c r="AT13" s="223"/>
      <c r="AU13" s="223"/>
      <c r="AV13" s="223"/>
      <c r="AW13" s="223"/>
      <c r="AX13" s="223"/>
      <c r="AY13" s="223"/>
      <c r="AZ13" s="223"/>
      <c r="BA13" s="223"/>
      <c r="BB13" s="223"/>
      <c r="BC13" s="223"/>
      <c r="BD13" s="223"/>
      <c r="BE13" s="223"/>
      <c r="BF13" s="223"/>
      <c r="BG13" s="249"/>
    </row>
    <row r="14" spans="2:65" ht="15" customHeight="1" thickBot="1" x14ac:dyDescent="0.3">
      <c r="B14" s="224"/>
      <c r="C14" s="225"/>
      <c r="D14" s="225"/>
      <c r="E14" s="225"/>
      <c r="F14" s="225"/>
      <c r="G14" s="225"/>
      <c r="H14" s="225"/>
      <c r="I14" s="225"/>
      <c r="J14" s="225"/>
      <c r="K14" s="225"/>
      <c r="L14" s="225"/>
      <c r="M14" s="225"/>
      <c r="N14" s="225"/>
      <c r="O14" s="225"/>
      <c r="P14" s="225"/>
      <c r="Q14" s="225"/>
      <c r="R14" s="225"/>
      <c r="S14" s="225"/>
      <c r="T14" s="225"/>
      <c r="U14" s="225"/>
      <c r="V14" s="225"/>
      <c r="W14" s="225"/>
      <c r="X14" s="225"/>
      <c r="Y14" s="225"/>
      <c r="Z14" s="225"/>
      <c r="AA14" s="225"/>
      <c r="AB14" s="225"/>
      <c r="AC14" s="225"/>
      <c r="AD14" s="225"/>
      <c r="AE14" s="225"/>
      <c r="AF14" s="225"/>
      <c r="AG14" s="225"/>
      <c r="AH14" s="225"/>
      <c r="AI14" s="225"/>
      <c r="AJ14" s="225"/>
      <c r="AK14" s="225"/>
      <c r="AL14" s="225"/>
      <c r="AM14" s="225"/>
      <c r="AN14" s="225"/>
      <c r="AO14" s="225"/>
      <c r="AP14" s="225"/>
      <c r="AQ14" s="225"/>
      <c r="AR14" s="225"/>
      <c r="AS14" s="225"/>
      <c r="AT14" s="225"/>
      <c r="AU14" s="225"/>
      <c r="AV14" s="225"/>
      <c r="AW14" s="225"/>
      <c r="AX14" s="225"/>
      <c r="AY14" s="225"/>
      <c r="AZ14" s="225"/>
      <c r="BA14" s="225"/>
      <c r="BB14" s="225"/>
      <c r="BC14" s="225"/>
      <c r="BD14" s="225"/>
      <c r="BE14" s="225"/>
      <c r="BF14" s="225"/>
      <c r="BG14" s="250"/>
    </row>
    <row r="15" spans="2:65" ht="15" customHeight="1" x14ac:dyDescent="0.25">
      <c r="B15" s="39" t="str">
        <f>Base!G9</f>
        <v>21 Base de données (MCD, MLD)</v>
      </c>
      <c r="C15" s="78"/>
      <c r="D15" s="79"/>
      <c r="E15" s="79"/>
      <c r="F15" s="79"/>
      <c r="G15" s="91"/>
      <c r="H15" s="111"/>
      <c r="I15" s="112"/>
      <c r="J15" s="137"/>
      <c r="K15" s="138"/>
      <c r="L15" s="138"/>
      <c r="M15" s="132"/>
      <c r="N15" s="133"/>
      <c r="O15" s="111"/>
      <c r="P15" s="112"/>
      <c r="Q15" s="100"/>
      <c r="R15" s="79"/>
      <c r="S15" s="79"/>
      <c r="T15" s="79"/>
      <c r="U15" s="91"/>
      <c r="V15" s="242" t="s">
        <v>60</v>
      </c>
      <c r="W15" s="243"/>
      <c r="X15" s="243"/>
      <c r="Y15" s="243"/>
      <c r="Z15" s="243"/>
      <c r="AA15" s="243"/>
      <c r="AB15" s="243"/>
      <c r="AC15" s="243"/>
      <c r="AD15" s="244"/>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71"/>
      <c r="G16" s="95"/>
      <c r="H16" s="111"/>
      <c r="I16" s="112"/>
      <c r="J16" s="102"/>
      <c r="K16" s="75"/>
      <c r="L16" s="75"/>
      <c r="M16" s="71"/>
      <c r="N16" s="92"/>
      <c r="O16" s="111"/>
      <c r="P16" s="112"/>
      <c r="Q16" s="101"/>
      <c r="R16" s="71"/>
      <c r="S16" s="71"/>
      <c r="T16" s="71"/>
      <c r="U16" s="92"/>
      <c r="V16" s="242"/>
      <c r="W16" s="243"/>
      <c r="X16" s="243"/>
      <c r="Y16" s="243"/>
      <c r="Z16" s="243"/>
      <c r="AA16" s="243"/>
      <c r="AB16" s="243"/>
      <c r="AC16" s="243"/>
      <c r="AD16" s="244"/>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95"/>
      <c r="H17" s="111"/>
      <c r="I17" s="112"/>
      <c r="J17" s="102"/>
      <c r="K17" s="75"/>
      <c r="L17" s="75"/>
      <c r="M17" s="71"/>
      <c r="N17" s="92"/>
      <c r="O17" s="111"/>
      <c r="P17" s="112"/>
      <c r="Q17" s="101"/>
      <c r="R17" s="71"/>
      <c r="S17" s="71"/>
      <c r="T17" s="71"/>
      <c r="U17" s="92"/>
      <c r="V17" s="242"/>
      <c r="W17" s="243"/>
      <c r="X17" s="243"/>
      <c r="Y17" s="243"/>
      <c r="Z17" s="243"/>
      <c r="AA17" s="243"/>
      <c r="AB17" s="243"/>
      <c r="AC17" s="243"/>
      <c r="AD17" s="244"/>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2"/>
      <c r="H18" s="111"/>
      <c r="I18" s="112"/>
      <c r="J18" s="101"/>
      <c r="K18" s="71"/>
      <c r="L18" s="71"/>
      <c r="M18" s="71"/>
      <c r="N18" s="92"/>
      <c r="O18" s="111"/>
      <c r="P18" s="112"/>
      <c r="Q18" s="101"/>
      <c r="R18" s="71"/>
      <c r="S18" s="71"/>
      <c r="T18" s="71"/>
      <c r="U18" s="92"/>
      <c r="V18" s="242"/>
      <c r="W18" s="243"/>
      <c r="X18" s="243"/>
      <c r="Y18" s="243"/>
      <c r="Z18" s="243"/>
      <c r="AA18" s="243"/>
      <c r="AB18" s="243"/>
      <c r="AC18" s="243"/>
      <c r="AD18" s="244"/>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2"/>
      <c r="H19" s="111"/>
      <c r="I19" s="112"/>
      <c r="J19" s="101"/>
      <c r="K19" s="71"/>
      <c r="L19" s="71"/>
      <c r="M19" s="71"/>
      <c r="N19" s="92"/>
      <c r="O19" s="111"/>
      <c r="P19" s="112"/>
      <c r="Q19" s="101"/>
      <c r="R19" s="71"/>
      <c r="S19" s="71"/>
      <c r="T19" s="71"/>
      <c r="U19" s="92"/>
      <c r="V19" s="242"/>
      <c r="W19" s="243"/>
      <c r="X19" s="243"/>
      <c r="Y19" s="243"/>
      <c r="Z19" s="243"/>
      <c r="AA19" s="243"/>
      <c r="AB19" s="243"/>
      <c r="AC19" s="243"/>
      <c r="AD19" s="244"/>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116"/>
      <c r="K20" s="114"/>
      <c r="L20" s="114"/>
      <c r="M20" s="114"/>
      <c r="N20" s="115"/>
      <c r="O20" s="111"/>
      <c r="P20" s="112"/>
      <c r="Q20" s="116"/>
      <c r="R20" s="114"/>
      <c r="S20" s="114"/>
      <c r="T20" s="114"/>
      <c r="U20" s="115"/>
      <c r="V20" s="242"/>
      <c r="W20" s="243"/>
      <c r="X20" s="243"/>
      <c r="Y20" s="243"/>
      <c r="Z20" s="243"/>
      <c r="AA20" s="243"/>
      <c r="AB20" s="243"/>
      <c r="AC20" s="243"/>
      <c r="AD20" s="244"/>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54" t="str">
        <f>Base!F15</f>
        <v>3 Implémentation</v>
      </c>
      <c r="C21" s="255"/>
      <c r="D21" s="255"/>
      <c r="E21" s="255"/>
      <c r="F21" s="255"/>
      <c r="G21" s="255"/>
      <c r="H21" s="255"/>
      <c r="I21" s="255"/>
      <c r="J21" s="255"/>
      <c r="K21" s="255"/>
      <c r="L21" s="255"/>
      <c r="M21" s="255"/>
      <c r="N21" s="255"/>
      <c r="O21" s="255"/>
      <c r="P21" s="255"/>
      <c r="Q21" s="255"/>
      <c r="R21" s="255"/>
      <c r="S21" s="255"/>
      <c r="T21" s="255"/>
      <c r="U21" s="255"/>
      <c r="V21" s="255"/>
      <c r="W21" s="255"/>
      <c r="X21" s="255"/>
      <c r="Y21" s="255"/>
      <c r="Z21" s="255"/>
      <c r="AA21" s="255"/>
      <c r="AB21" s="255"/>
      <c r="AC21" s="255"/>
      <c r="AD21" s="255"/>
      <c r="AE21" s="255"/>
      <c r="AF21" s="255"/>
      <c r="AG21" s="255"/>
      <c r="AH21" s="255"/>
      <c r="AI21" s="255"/>
      <c r="AJ21" s="255"/>
      <c r="AK21" s="255"/>
      <c r="AL21" s="255"/>
      <c r="AM21" s="255"/>
      <c r="AN21" s="255"/>
      <c r="AO21" s="255"/>
      <c r="AP21" s="255"/>
      <c r="AQ21" s="255"/>
      <c r="AR21" s="255"/>
      <c r="AS21" s="255"/>
      <c r="AT21" s="255"/>
      <c r="AU21" s="255"/>
      <c r="AV21" s="255"/>
      <c r="AW21" s="255"/>
      <c r="AX21" s="255"/>
      <c r="AY21" s="255"/>
      <c r="AZ21" s="255"/>
      <c r="BA21" s="255"/>
      <c r="BB21" s="255"/>
      <c r="BC21" s="255"/>
      <c r="BD21" s="255"/>
      <c r="BE21" s="255"/>
      <c r="BF21" s="255"/>
      <c r="BG21" s="256"/>
    </row>
    <row r="22" spans="2:59" ht="15.75" thickBot="1" x14ac:dyDescent="0.3">
      <c r="B22" s="257"/>
      <c r="C22" s="258"/>
      <c r="D22" s="258"/>
      <c r="E22" s="258"/>
      <c r="F22" s="258"/>
      <c r="G22" s="258"/>
      <c r="H22" s="258"/>
      <c r="I22" s="258"/>
      <c r="J22" s="258"/>
      <c r="K22" s="258"/>
      <c r="L22" s="258"/>
      <c r="M22" s="258"/>
      <c r="N22" s="258"/>
      <c r="O22" s="258"/>
      <c r="P22" s="258"/>
      <c r="Q22" s="258"/>
      <c r="R22" s="258"/>
      <c r="S22" s="258"/>
      <c r="T22" s="258"/>
      <c r="U22" s="258"/>
      <c r="V22" s="258"/>
      <c r="W22" s="258"/>
      <c r="X22" s="258"/>
      <c r="Y22" s="258"/>
      <c r="Z22" s="258"/>
      <c r="AA22" s="258"/>
      <c r="AB22" s="258"/>
      <c r="AC22" s="258"/>
      <c r="AD22" s="258"/>
      <c r="AE22" s="258"/>
      <c r="AF22" s="258"/>
      <c r="AG22" s="258"/>
      <c r="AH22" s="258"/>
      <c r="AI22" s="258"/>
      <c r="AJ22" s="258"/>
      <c r="AK22" s="258"/>
      <c r="AL22" s="258"/>
      <c r="AM22" s="258"/>
      <c r="AN22" s="258"/>
      <c r="AO22" s="258"/>
      <c r="AP22" s="258"/>
      <c r="AQ22" s="258"/>
      <c r="AR22" s="258"/>
      <c r="AS22" s="258"/>
      <c r="AT22" s="258"/>
      <c r="AU22" s="258"/>
      <c r="AV22" s="258"/>
      <c r="AW22" s="258"/>
      <c r="AX22" s="258"/>
      <c r="AY22" s="258"/>
      <c r="AZ22" s="258"/>
      <c r="BA22" s="258"/>
      <c r="BB22" s="258"/>
      <c r="BC22" s="258"/>
      <c r="BD22" s="258"/>
      <c r="BE22" s="258"/>
      <c r="BF22" s="258"/>
      <c r="BG22" s="259"/>
    </row>
    <row r="23" spans="2:59" ht="15" customHeight="1" x14ac:dyDescent="0.25">
      <c r="B23" s="39" t="str">
        <f>Base!G15</f>
        <v>30 Base du projet C# (classe … )</v>
      </c>
      <c r="C23" s="78"/>
      <c r="D23" s="79"/>
      <c r="E23" s="79"/>
      <c r="F23" s="79"/>
      <c r="G23" s="91"/>
      <c r="H23" s="111"/>
      <c r="I23" s="112"/>
      <c r="J23" s="100"/>
      <c r="K23" s="79"/>
      <c r="L23" s="134"/>
      <c r="M23" s="134"/>
      <c r="N23" s="135"/>
      <c r="O23" s="111"/>
      <c r="P23" s="112"/>
      <c r="Q23" s="136"/>
      <c r="R23" s="134"/>
      <c r="S23" s="134"/>
      <c r="T23" s="134"/>
      <c r="U23" s="135"/>
      <c r="V23" s="242" t="s">
        <v>61</v>
      </c>
      <c r="W23" s="243"/>
      <c r="X23" s="243"/>
      <c r="Y23" s="243"/>
      <c r="Z23" s="243"/>
      <c r="AA23" s="243"/>
      <c r="AB23" s="243"/>
      <c r="AC23" s="243"/>
      <c r="AD23" s="244"/>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1"/>
      <c r="M24" s="76"/>
      <c r="N24" s="92"/>
      <c r="O24" s="111"/>
      <c r="P24" s="112"/>
      <c r="Q24" s="101"/>
      <c r="R24" s="71"/>
      <c r="S24" s="71"/>
      <c r="T24" s="71"/>
      <c r="U24" s="92"/>
      <c r="V24" s="242"/>
      <c r="W24" s="243"/>
      <c r="X24" s="243"/>
      <c r="Y24" s="243"/>
      <c r="Z24" s="243"/>
      <c r="AA24" s="243"/>
      <c r="AB24" s="243"/>
      <c r="AC24" s="243"/>
      <c r="AD24" s="244"/>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1"/>
      <c r="M25" s="76"/>
      <c r="N25" s="96"/>
      <c r="O25" s="111"/>
      <c r="P25" s="112"/>
      <c r="Q25" s="101"/>
      <c r="R25" s="71"/>
      <c r="S25" s="71"/>
      <c r="T25" s="71"/>
      <c r="U25" s="92"/>
      <c r="V25" s="242"/>
      <c r="W25" s="243"/>
      <c r="X25" s="243"/>
      <c r="Y25" s="243"/>
      <c r="Z25" s="243"/>
      <c r="AA25" s="243"/>
      <c r="AB25" s="243"/>
      <c r="AC25" s="243"/>
      <c r="AD25" s="244"/>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1"/>
      <c r="M26" s="71"/>
      <c r="N26" s="96"/>
      <c r="O26" s="111"/>
      <c r="P26" s="112"/>
      <c r="Q26" s="101"/>
      <c r="R26" s="71"/>
      <c r="S26" s="71"/>
      <c r="T26" s="71"/>
      <c r="U26" s="92"/>
      <c r="V26" s="242"/>
      <c r="W26" s="243"/>
      <c r="X26" s="243"/>
      <c r="Y26" s="243"/>
      <c r="Z26" s="243"/>
      <c r="AA26" s="243"/>
      <c r="AB26" s="243"/>
      <c r="AC26" s="243"/>
      <c r="AD26" s="244"/>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1"/>
      <c r="M27" s="71"/>
      <c r="N27" s="92"/>
      <c r="O27" s="111"/>
      <c r="P27" s="112"/>
      <c r="Q27" s="103"/>
      <c r="R27" s="76"/>
      <c r="S27" s="76"/>
      <c r="T27" s="76"/>
      <c r="U27" s="96"/>
      <c r="V27" s="242"/>
      <c r="W27" s="243"/>
      <c r="X27" s="243"/>
      <c r="Y27" s="243"/>
      <c r="Z27" s="243"/>
      <c r="AA27" s="243"/>
      <c r="AB27" s="243"/>
      <c r="AC27" s="243"/>
      <c r="AD27" s="244"/>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12"/>
      <c r="Q28" s="103"/>
      <c r="R28" s="76"/>
      <c r="S28" s="76"/>
      <c r="T28" s="76"/>
      <c r="U28" s="96"/>
      <c r="V28" s="242"/>
      <c r="W28" s="243"/>
      <c r="X28" s="243"/>
      <c r="Y28" s="243"/>
      <c r="Z28" s="243"/>
      <c r="AA28" s="243"/>
      <c r="AB28" s="243"/>
      <c r="AC28" s="243"/>
      <c r="AD28" s="244"/>
      <c r="AE28" s="101"/>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01"/>
      <c r="R29" s="71"/>
      <c r="S29" s="71"/>
      <c r="T29" s="71"/>
      <c r="U29" s="92"/>
      <c r="V29" s="242"/>
      <c r="W29" s="243"/>
      <c r="X29" s="243"/>
      <c r="Y29" s="243"/>
      <c r="Z29" s="243"/>
      <c r="AA29" s="243"/>
      <c r="AB29" s="243"/>
      <c r="AC29" s="243"/>
      <c r="AD29" s="244"/>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42"/>
      <c r="W30" s="243"/>
      <c r="X30" s="243"/>
      <c r="Y30" s="243"/>
      <c r="Z30" s="243"/>
      <c r="AA30" s="243"/>
      <c r="AB30" s="243"/>
      <c r="AC30" s="243"/>
      <c r="AD30" s="244"/>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42"/>
      <c r="W31" s="243"/>
      <c r="X31" s="243"/>
      <c r="Y31" s="243"/>
      <c r="Z31" s="243"/>
      <c r="AA31" s="243"/>
      <c r="AB31" s="243"/>
      <c r="AC31" s="243"/>
      <c r="AD31" s="244"/>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42"/>
      <c r="W32" s="243"/>
      <c r="X32" s="243"/>
      <c r="Y32" s="243"/>
      <c r="Z32" s="243"/>
      <c r="AA32" s="243"/>
      <c r="AB32" s="243"/>
      <c r="AC32" s="243"/>
      <c r="AD32" s="244"/>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30" t="str">
        <f>Base!F25</f>
        <v>4 Tests</v>
      </c>
      <c r="C33" s="231"/>
      <c r="D33" s="231"/>
      <c r="E33" s="231"/>
      <c r="F33" s="231"/>
      <c r="G33" s="231"/>
      <c r="H33" s="231"/>
      <c r="I33" s="231"/>
      <c r="J33" s="231"/>
      <c r="K33" s="231"/>
      <c r="L33" s="231"/>
      <c r="M33" s="231"/>
      <c r="N33" s="231"/>
      <c r="O33" s="231"/>
      <c r="P33" s="231"/>
      <c r="Q33" s="231"/>
      <c r="R33" s="231"/>
      <c r="S33" s="231"/>
      <c r="T33" s="231"/>
      <c r="U33" s="231"/>
      <c r="V33" s="231"/>
      <c r="W33" s="231"/>
      <c r="X33" s="231"/>
      <c r="Y33" s="231"/>
      <c r="Z33" s="231"/>
      <c r="AA33" s="231"/>
      <c r="AB33" s="231"/>
      <c r="AC33" s="231"/>
      <c r="AD33" s="231"/>
      <c r="AE33" s="231"/>
      <c r="AF33" s="231"/>
      <c r="AG33" s="231"/>
      <c r="AH33" s="231"/>
      <c r="AI33" s="231"/>
      <c r="AJ33" s="231"/>
      <c r="AK33" s="231"/>
      <c r="AL33" s="231"/>
      <c r="AM33" s="231"/>
      <c r="AN33" s="231"/>
      <c r="AO33" s="231"/>
      <c r="AP33" s="231"/>
      <c r="AQ33" s="231"/>
      <c r="AR33" s="231"/>
      <c r="AS33" s="231"/>
      <c r="AT33" s="231"/>
      <c r="AU33" s="231"/>
      <c r="AV33" s="231"/>
      <c r="AW33" s="231"/>
      <c r="AX33" s="231"/>
      <c r="AY33" s="231"/>
      <c r="AZ33" s="231"/>
      <c r="BA33" s="231"/>
      <c r="BB33" s="231"/>
      <c r="BC33" s="231"/>
      <c r="BD33" s="231"/>
      <c r="BE33" s="231"/>
      <c r="BF33" s="231"/>
      <c r="BG33" s="232"/>
    </row>
    <row r="34" spans="2:59" ht="15.75" customHeight="1" thickBot="1" x14ac:dyDescent="0.3">
      <c r="B34" s="233"/>
      <c r="C34" s="234"/>
      <c r="D34" s="234"/>
      <c r="E34" s="234"/>
      <c r="F34" s="234"/>
      <c r="G34" s="234"/>
      <c r="H34" s="234"/>
      <c r="I34" s="234"/>
      <c r="J34" s="234"/>
      <c r="K34" s="234"/>
      <c r="L34" s="234"/>
      <c r="M34" s="234"/>
      <c r="N34" s="234"/>
      <c r="O34" s="234"/>
      <c r="P34" s="234"/>
      <c r="Q34" s="234"/>
      <c r="R34" s="234"/>
      <c r="S34" s="234"/>
      <c r="T34" s="234"/>
      <c r="U34" s="234"/>
      <c r="V34" s="234"/>
      <c r="W34" s="234"/>
      <c r="X34" s="234"/>
      <c r="Y34" s="234"/>
      <c r="Z34" s="234"/>
      <c r="AA34" s="234"/>
      <c r="AB34" s="234"/>
      <c r="AC34" s="234"/>
      <c r="AD34" s="234"/>
      <c r="AE34" s="234"/>
      <c r="AF34" s="234"/>
      <c r="AG34" s="234"/>
      <c r="AH34" s="234"/>
      <c r="AI34" s="234"/>
      <c r="AJ34" s="234"/>
      <c r="AK34" s="234"/>
      <c r="AL34" s="234"/>
      <c r="AM34" s="234"/>
      <c r="AN34" s="234"/>
      <c r="AO34" s="234"/>
      <c r="AP34" s="234"/>
      <c r="AQ34" s="234"/>
      <c r="AR34" s="234"/>
      <c r="AS34" s="234"/>
      <c r="AT34" s="234"/>
      <c r="AU34" s="234"/>
      <c r="AV34" s="234"/>
      <c r="AW34" s="234"/>
      <c r="AX34" s="234"/>
      <c r="AY34" s="234"/>
      <c r="AZ34" s="234"/>
      <c r="BA34" s="234"/>
      <c r="BB34" s="234"/>
      <c r="BC34" s="234"/>
      <c r="BD34" s="234"/>
      <c r="BE34" s="234"/>
      <c r="BF34" s="234"/>
      <c r="BG34" s="235"/>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42" t="s">
        <v>62</v>
      </c>
      <c r="W35" s="243"/>
      <c r="X35" s="243"/>
      <c r="Y35" s="243"/>
      <c r="Z35" s="243"/>
      <c r="AA35" s="243"/>
      <c r="AB35" s="243"/>
      <c r="AC35" s="243"/>
      <c r="AD35" s="244"/>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42"/>
      <c r="W36" s="243"/>
      <c r="X36" s="243"/>
      <c r="Y36" s="243"/>
      <c r="Z36" s="243"/>
      <c r="AA36" s="243"/>
      <c r="AB36" s="243"/>
      <c r="AC36" s="243"/>
      <c r="AD36" s="244"/>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42"/>
      <c r="W37" s="243"/>
      <c r="X37" s="243"/>
      <c r="Y37" s="243"/>
      <c r="Z37" s="243"/>
      <c r="AA37" s="243"/>
      <c r="AB37" s="243"/>
      <c r="AC37" s="243"/>
      <c r="AD37" s="244"/>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42"/>
      <c r="W38" s="243"/>
      <c r="X38" s="243"/>
      <c r="Y38" s="243"/>
      <c r="Z38" s="243"/>
      <c r="AA38" s="243"/>
      <c r="AB38" s="243"/>
      <c r="AC38" s="243"/>
      <c r="AD38" s="244"/>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42"/>
      <c r="W39" s="243"/>
      <c r="X39" s="243"/>
      <c r="Y39" s="243"/>
      <c r="Z39" s="243"/>
      <c r="AA39" s="243"/>
      <c r="AB39" s="243"/>
      <c r="AC39" s="243"/>
      <c r="AD39" s="244"/>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42"/>
      <c r="W40" s="243"/>
      <c r="X40" s="243"/>
      <c r="Y40" s="243"/>
      <c r="Z40" s="243"/>
      <c r="AA40" s="243"/>
      <c r="AB40" s="243"/>
      <c r="AC40" s="243"/>
      <c r="AD40" s="244"/>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36" t="str">
        <f>Base!F31</f>
        <v>5 Documentation</v>
      </c>
      <c r="C41" s="237"/>
      <c r="D41" s="237"/>
      <c r="E41" s="237"/>
      <c r="F41" s="237"/>
      <c r="G41" s="237"/>
      <c r="H41" s="237"/>
      <c r="I41" s="237"/>
      <c r="J41" s="237"/>
      <c r="K41" s="237"/>
      <c r="L41" s="237"/>
      <c r="M41" s="237"/>
      <c r="N41" s="237"/>
      <c r="O41" s="237"/>
      <c r="P41" s="237"/>
      <c r="Q41" s="237"/>
      <c r="R41" s="237"/>
      <c r="S41" s="237"/>
      <c r="T41" s="237"/>
      <c r="U41" s="237"/>
      <c r="V41" s="237"/>
      <c r="W41" s="237"/>
      <c r="X41" s="237"/>
      <c r="Y41" s="237"/>
      <c r="Z41" s="237"/>
      <c r="AA41" s="237"/>
      <c r="AB41" s="237"/>
      <c r="AC41" s="237"/>
      <c r="AD41" s="237"/>
      <c r="AE41" s="237"/>
      <c r="AF41" s="237"/>
      <c r="AG41" s="237"/>
      <c r="AH41" s="237"/>
      <c r="AI41" s="237"/>
      <c r="AJ41" s="237"/>
      <c r="AK41" s="237"/>
      <c r="AL41" s="237"/>
      <c r="AM41" s="237"/>
      <c r="AN41" s="237"/>
      <c r="AO41" s="237"/>
      <c r="AP41" s="237"/>
      <c r="AQ41" s="237"/>
      <c r="AR41" s="237"/>
      <c r="AS41" s="237"/>
      <c r="AT41" s="237"/>
      <c r="AU41" s="237"/>
      <c r="AV41" s="237"/>
      <c r="AW41" s="237"/>
      <c r="AX41" s="237"/>
      <c r="AY41" s="237"/>
      <c r="AZ41" s="237"/>
      <c r="BA41" s="237"/>
      <c r="BB41" s="237"/>
      <c r="BC41" s="237"/>
      <c r="BD41" s="237"/>
      <c r="BE41" s="237"/>
      <c r="BF41" s="237"/>
      <c r="BG41" s="238"/>
    </row>
    <row r="42" spans="2:59" ht="15.75" thickBot="1" x14ac:dyDescent="0.3">
      <c r="B42" s="239"/>
      <c r="C42" s="240"/>
      <c r="D42" s="240"/>
      <c r="E42" s="240"/>
      <c r="F42" s="240"/>
      <c r="G42" s="240"/>
      <c r="H42" s="240"/>
      <c r="I42" s="240"/>
      <c r="J42" s="240"/>
      <c r="K42" s="240"/>
      <c r="L42" s="240"/>
      <c r="M42" s="240"/>
      <c r="N42" s="240"/>
      <c r="O42" s="240"/>
      <c r="P42" s="240"/>
      <c r="Q42" s="240"/>
      <c r="R42" s="240"/>
      <c r="S42" s="240"/>
      <c r="T42" s="240"/>
      <c r="U42" s="240"/>
      <c r="V42" s="240"/>
      <c r="W42" s="240"/>
      <c r="X42" s="240"/>
      <c r="Y42" s="240"/>
      <c r="Z42" s="240"/>
      <c r="AA42" s="240"/>
      <c r="AB42" s="240"/>
      <c r="AC42" s="240"/>
      <c r="AD42" s="240"/>
      <c r="AE42" s="240"/>
      <c r="AF42" s="240"/>
      <c r="AG42" s="240"/>
      <c r="AH42" s="240"/>
      <c r="AI42" s="240"/>
      <c r="AJ42" s="240"/>
      <c r="AK42" s="240"/>
      <c r="AL42" s="240"/>
      <c r="AM42" s="240"/>
      <c r="AN42" s="240"/>
      <c r="AO42" s="240"/>
      <c r="AP42" s="240"/>
      <c r="AQ42" s="240"/>
      <c r="AR42" s="240"/>
      <c r="AS42" s="240"/>
      <c r="AT42" s="240"/>
      <c r="AU42" s="240"/>
      <c r="AV42" s="240"/>
      <c r="AW42" s="240"/>
      <c r="AX42" s="240"/>
      <c r="AY42" s="240"/>
      <c r="AZ42" s="240"/>
      <c r="BA42" s="240"/>
      <c r="BB42" s="240"/>
      <c r="BC42" s="240"/>
      <c r="BD42" s="240"/>
      <c r="BE42" s="240"/>
      <c r="BF42" s="240"/>
      <c r="BG42" s="241"/>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42" t="s">
        <v>63</v>
      </c>
      <c r="W43" s="243"/>
      <c r="X43" s="243"/>
      <c r="Y43" s="243"/>
      <c r="Z43" s="243"/>
      <c r="AA43" s="243"/>
      <c r="AB43" s="243"/>
      <c r="AC43" s="243"/>
      <c r="AD43" s="244"/>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42"/>
      <c r="W44" s="243"/>
      <c r="X44" s="243"/>
      <c r="Y44" s="243"/>
      <c r="Z44" s="243"/>
      <c r="AA44" s="243"/>
      <c r="AB44" s="243"/>
      <c r="AC44" s="243"/>
      <c r="AD44" s="244"/>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42"/>
      <c r="W45" s="243"/>
      <c r="X45" s="243"/>
      <c r="Y45" s="243"/>
      <c r="Z45" s="243"/>
      <c r="AA45" s="243"/>
      <c r="AB45" s="243"/>
      <c r="AC45" s="243"/>
      <c r="AD45" s="244"/>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42"/>
      <c r="W46" s="243"/>
      <c r="X46" s="243"/>
      <c r="Y46" s="243"/>
      <c r="Z46" s="243"/>
      <c r="AA46" s="243"/>
      <c r="AB46" s="243"/>
      <c r="AC46" s="243"/>
      <c r="AD46" s="244"/>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42"/>
      <c r="W47" s="243"/>
      <c r="X47" s="243"/>
      <c r="Y47" s="243"/>
      <c r="Z47" s="243"/>
      <c r="AA47" s="243"/>
      <c r="AB47" s="243"/>
      <c r="AC47" s="243"/>
      <c r="AD47" s="244"/>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45"/>
      <c r="W48" s="246"/>
      <c r="X48" s="246"/>
      <c r="Y48" s="246"/>
      <c r="Z48" s="246"/>
      <c r="AA48" s="246"/>
      <c r="AB48" s="246"/>
      <c r="AC48" s="246"/>
      <c r="AD48" s="247"/>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5:BG6"/>
    <mergeCell ref="B13:BG14"/>
    <mergeCell ref="V7:AD12"/>
    <mergeCell ref="B21:BG22"/>
    <mergeCell ref="V15:AD20"/>
    <mergeCell ref="AE4:AK4"/>
    <mergeCell ref="AL4:AR4"/>
    <mergeCell ref="AS4:AY4"/>
    <mergeCell ref="AZ4:BF4"/>
    <mergeCell ref="C4:I4"/>
    <mergeCell ref="J4:P4"/>
    <mergeCell ref="Q4:W4"/>
    <mergeCell ref="X4:AD4"/>
    <mergeCell ref="B33:BG34"/>
    <mergeCell ref="B41:BG42"/>
    <mergeCell ref="V23:AD32"/>
    <mergeCell ref="V35:AD40"/>
    <mergeCell ref="V43:AD48"/>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topLeftCell="A7" zoomScale="70" zoomScaleNormal="70" workbookViewId="0">
      <selection activeCell="J17" sqref="J17"/>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10.7109375" customWidth="1"/>
    <col min="61" max="61" width="9" customWidth="1"/>
    <col min="62" max="62" width="9.28515625" customWidth="1"/>
    <col min="63" max="63" width="8.7109375" customWidth="1"/>
    <col min="64" max="64" width="9.7109375" customWidth="1"/>
    <col min="65" max="65" width="6.4257812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58</v>
      </c>
      <c r="C4" s="248">
        <f>WEEKNUM(C3,1)</f>
        <v>6</v>
      </c>
      <c r="D4" s="248"/>
      <c r="E4" s="248"/>
      <c r="F4" s="248"/>
      <c r="G4" s="248"/>
      <c r="H4" s="248"/>
      <c r="I4" s="248"/>
      <c r="J4" s="248">
        <f t="shared" ref="J4" si="1">WEEKNUM(J3,1)</f>
        <v>7</v>
      </c>
      <c r="K4" s="248"/>
      <c r="L4" s="248"/>
      <c r="M4" s="248"/>
      <c r="N4" s="248"/>
      <c r="O4" s="248"/>
      <c r="P4" s="248"/>
      <c r="Q4" s="248">
        <f t="shared" ref="Q4" si="2">WEEKNUM(Q3,1)</f>
        <v>8</v>
      </c>
      <c r="R4" s="248"/>
      <c r="S4" s="248"/>
      <c r="T4" s="248"/>
      <c r="U4" s="248"/>
      <c r="V4" s="248"/>
      <c r="W4" s="248"/>
      <c r="X4" s="248">
        <f t="shared" ref="X4" si="3">WEEKNUM(X3,1)</f>
        <v>9</v>
      </c>
      <c r="Y4" s="248"/>
      <c r="Z4" s="248"/>
      <c r="AA4" s="248"/>
      <c r="AB4" s="248"/>
      <c r="AC4" s="248"/>
      <c r="AD4" s="248"/>
      <c r="AE4" s="248">
        <f t="shared" ref="AE4" si="4">WEEKNUM(AE3,1)</f>
        <v>10</v>
      </c>
      <c r="AF4" s="248"/>
      <c r="AG4" s="248"/>
      <c r="AH4" s="248"/>
      <c r="AI4" s="248"/>
      <c r="AJ4" s="248"/>
      <c r="AK4" s="248"/>
      <c r="AL4" s="248">
        <f t="shared" ref="AL4" si="5">WEEKNUM(AL3,1)</f>
        <v>11</v>
      </c>
      <c r="AM4" s="248"/>
      <c r="AN4" s="248"/>
      <c r="AO4" s="248"/>
      <c r="AP4" s="248"/>
      <c r="AQ4" s="248"/>
      <c r="AR4" s="248"/>
      <c r="AS4" s="248">
        <f t="shared" ref="AS4" si="6">WEEKNUM(AS3,1)</f>
        <v>12</v>
      </c>
      <c r="AT4" s="248"/>
      <c r="AU4" s="248"/>
      <c r="AV4" s="248"/>
      <c r="AW4" s="248"/>
      <c r="AX4" s="248"/>
      <c r="AY4" s="248"/>
      <c r="AZ4" s="248">
        <f t="shared" ref="AZ4" si="7">WEEKNUM(AZ3,1)</f>
        <v>13</v>
      </c>
      <c r="BA4" s="248"/>
      <c r="BB4" s="248"/>
      <c r="BC4" s="248"/>
      <c r="BD4" s="248"/>
      <c r="BE4" s="248"/>
      <c r="BF4" s="248"/>
      <c r="BG4" s="123">
        <f>WEEKNUM(BG3,1)</f>
        <v>14</v>
      </c>
      <c r="BH4" s="88"/>
      <c r="BI4" s="88"/>
      <c r="BJ4" s="88"/>
      <c r="BK4" s="88"/>
      <c r="BL4" s="88"/>
      <c r="BM4" s="88"/>
    </row>
    <row r="5" spans="2:65" s="68" customFormat="1" ht="15.75" customHeight="1" x14ac:dyDescent="0.25">
      <c r="B5" s="216" t="str">
        <f>Base!F3</f>
        <v>1 Analyse</v>
      </c>
      <c r="C5" s="217"/>
      <c r="D5" s="217"/>
      <c r="E5" s="217"/>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c r="AE5" s="217"/>
      <c r="AF5" s="217"/>
      <c r="AG5" s="217"/>
      <c r="AH5" s="217"/>
      <c r="AI5" s="217"/>
      <c r="AJ5" s="217"/>
      <c r="AK5" s="217"/>
      <c r="AL5" s="217"/>
      <c r="AM5" s="217"/>
      <c r="AN5" s="217"/>
      <c r="AO5" s="217"/>
      <c r="AP5" s="217"/>
      <c r="AQ5" s="217"/>
      <c r="AR5" s="217"/>
      <c r="AS5" s="217"/>
      <c r="AT5" s="217"/>
      <c r="AU5" s="217"/>
      <c r="AV5" s="217"/>
      <c r="AW5" s="217"/>
      <c r="AX5" s="217"/>
      <c r="AY5" s="217"/>
      <c r="AZ5" s="217"/>
      <c r="BA5" s="217"/>
      <c r="BB5" s="217"/>
      <c r="BC5" s="217"/>
      <c r="BD5" s="217"/>
      <c r="BE5" s="217"/>
      <c r="BF5" s="217"/>
      <c r="BG5" s="218"/>
    </row>
    <row r="6" spans="2:65" s="68" customFormat="1" ht="15.75" customHeight="1" thickBot="1" x14ac:dyDescent="0.3">
      <c r="B6" s="219"/>
      <c r="C6" s="220"/>
      <c r="D6" s="220"/>
      <c r="E6" s="220"/>
      <c r="F6" s="220"/>
      <c r="G6" s="220"/>
      <c r="H6" s="220"/>
      <c r="I6" s="220"/>
      <c r="J6" s="220"/>
      <c r="K6" s="220"/>
      <c r="L6" s="220"/>
      <c r="M6" s="220"/>
      <c r="N6" s="220"/>
      <c r="O6" s="220"/>
      <c r="P6" s="220"/>
      <c r="Q6" s="220"/>
      <c r="R6" s="220"/>
      <c r="S6" s="220"/>
      <c r="T6" s="220"/>
      <c r="U6" s="220"/>
      <c r="V6" s="220"/>
      <c r="W6" s="220"/>
      <c r="X6" s="220"/>
      <c r="Y6" s="220"/>
      <c r="Z6" s="220"/>
      <c r="AA6" s="220"/>
      <c r="AB6" s="220"/>
      <c r="AC6" s="220"/>
      <c r="AD6" s="220"/>
      <c r="AE6" s="220"/>
      <c r="AF6" s="220"/>
      <c r="AG6" s="220"/>
      <c r="AH6" s="220"/>
      <c r="AI6" s="220"/>
      <c r="AJ6" s="220"/>
      <c r="AK6" s="220"/>
      <c r="AL6" s="220"/>
      <c r="AM6" s="220"/>
      <c r="AN6" s="220"/>
      <c r="AO6" s="220"/>
      <c r="AP6" s="220"/>
      <c r="AQ6" s="220"/>
      <c r="AR6" s="220"/>
      <c r="AS6" s="220"/>
      <c r="AT6" s="220"/>
      <c r="AU6" s="220"/>
      <c r="AV6" s="220"/>
      <c r="AW6" s="220"/>
      <c r="AX6" s="220"/>
      <c r="AY6" s="220"/>
      <c r="AZ6" s="220"/>
      <c r="BA6" s="220"/>
      <c r="BB6" s="220"/>
      <c r="BC6" s="220"/>
      <c r="BD6" s="220"/>
      <c r="BE6" s="220"/>
      <c r="BF6" s="220"/>
      <c r="BG6" s="221"/>
    </row>
    <row r="7" spans="2:65" ht="15" customHeight="1" x14ac:dyDescent="0.25">
      <c r="B7" s="39" t="str">
        <f>Base!G3</f>
        <v>11 Analyse préliminaire</v>
      </c>
      <c r="C7" s="71"/>
      <c r="D7" s="73"/>
      <c r="E7" s="73"/>
      <c r="F7" s="73"/>
      <c r="G7" s="71"/>
      <c r="H7" s="111"/>
      <c r="I7" s="112"/>
      <c r="J7" s="100"/>
      <c r="K7" s="79"/>
      <c r="L7" s="79"/>
      <c r="M7" s="79"/>
      <c r="N7" s="91"/>
      <c r="O7" s="111"/>
      <c r="P7" s="112"/>
      <c r="Q7" s="100"/>
      <c r="R7" s="79"/>
      <c r="S7" s="79"/>
      <c r="T7" s="79"/>
      <c r="U7" s="91"/>
      <c r="V7" s="242" t="s">
        <v>59</v>
      </c>
      <c r="W7" s="243"/>
      <c r="X7" s="243"/>
      <c r="Y7" s="243"/>
      <c r="Z7" s="243"/>
      <c r="AA7" s="243"/>
      <c r="AB7" s="243"/>
      <c r="AC7" s="243"/>
      <c r="AD7" s="244"/>
      <c r="AE7" s="100"/>
      <c r="AF7" s="79"/>
      <c r="AG7" s="79"/>
      <c r="AH7" s="79"/>
      <c r="AI7" s="91"/>
      <c r="AJ7" s="111"/>
      <c r="AK7" s="112"/>
      <c r="AL7" s="100"/>
      <c r="AM7" s="79"/>
      <c r="AN7" s="79"/>
      <c r="AO7" s="79"/>
      <c r="AP7" s="91"/>
      <c r="AQ7" s="111"/>
      <c r="AR7" s="112"/>
      <c r="AS7" s="100"/>
      <c r="AT7" s="79"/>
      <c r="AU7" s="79"/>
      <c r="AV7" s="79"/>
      <c r="AW7" s="91"/>
      <c r="AX7" s="111"/>
      <c r="AY7" s="112"/>
      <c r="AZ7" s="100"/>
      <c r="BA7" s="79"/>
      <c r="BB7" s="79"/>
      <c r="BC7" s="79"/>
      <c r="BD7" s="91"/>
      <c r="BE7" s="111"/>
      <c r="BF7" s="112"/>
      <c r="BG7" s="106"/>
    </row>
    <row r="8" spans="2:65" x14ac:dyDescent="0.25">
      <c r="B8" s="39" t="str">
        <f>Base!G4</f>
        <v>12 Planification initiale</v>
      </c>
      <c r="C8" s="73"/>
      <c r="D8" s="71"/>
      <c r="E8" s="71"/>
      <c r="F8" s="71"/>
      <c r="G8" s="71"/>
      <c r="H8" s="111"/>
      <c r="I8" s="112"/>
      <c r="J8" s="101"/>
      <c r="K8" s="71"/>
      <c r="L8" s="71"/>
      <c r="M8" s="71"/>
      <c r="N8" s="92"/>
      <c r="O8" s="111"/>
      <c r="P8" s="112"/>
      <c r="Q8" s="101"/>
      <c r="R8" s="71"/>
      <c r="S8" s="71"/>
      <c r="T8" s="71"/>
      <c r="U8" s="92"/>
      <c r="V8" s="242"/>
      <c r="W8" s="243"/>
      <c r="X8" s="243"/>
      <c r="Y8" s="243"/>
      <c r="Z8" s="243"/>
      <c r="AA8" s="243"/>
      <c r="AB8" s="243"/>
      <c r="AC8" s="243"/>
      <c r="AD8" s="244"/>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1"/>
      <c r="D9" s="73"/>
      <c r="E9" s="73"/>
      <c r="F9" s="73"/>
      <c r="G9" s="71"/>
      <c r="H9" s="111"/>
      <c r="I9" s="112"/>
      <c r="J9" s="101"/>
      <c r="K9" s="71"/>
      <c r="L9" s="71"/>
      <c r="M9" s="71"/>
      <c r="N9" s="92"/>
      <c r="O9" s="111"/>
      <c r="P9" s="112"/>
      <c r="Q9" s="101"/>
      <c r="R9" s="71"/>
      <c r="S9" s="71"/>
      <c r="T9" s="71"/>
      <c r="U9" s="92"/>
      <c r="V9" s="242"/>
      <c r="W9" s="243"/>
      <c r="X9" s="243"/>
      <c r="Y9" s="243"/>
      <c r="Z9" s="243"/>
      <c r="AA9" s="243"/>
      <c r="AB9" s="243"/>
      <c r="AC9" s="243"/>
      <c r="AD9" s="244"/>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1"/>
      <c r="D10" s="71"/>
      <c r="E10" s="71"/>
      <c r="F10" s="73"/>
      <c r="G10" s="71"/>
      <c r="H10" s="199"/>
      <c r="I10" s="112"/>
      <c r="J10" s="101"/>
      <c r="K10" s="71"/>
      <c r="L10" s="71"/>
      <c r="M10" s="71"/>
      <c r="N10" s="92"/>
      <c r="O10" s="111"/>
      <c r="P10" s="112"/>
      <c r="Q10" s="101"/>
      <c r="R10" s="71"/>
      <c r="S10" s="71"/>
      <c r="T10" s="71"/>
      <c r="U10" s="92"/>
      <c r="V10" s="242"/>
      <c r="W10" s="243"/>
      <c r="X10" s="243"/>
      <c r="Y10" s="243"/>
      <c r="Z10" s="243"/>
      <c r="AA10" s="243"/>
      <c r="AB10" s="243"/>
      <c r="AC10" s="243"/>
      <c r="AD10" s="244"/>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1"/>
      <c r="D11" s="71"/>
      <c r="E11" s="71"/>
      <c r="F11" s="73"/>
      <c r="G11" s="73"/>
      <c r="H11" s="199"/>
      <c r="I11" s="112"/>
      <c r="J11" s="101"/>
      <c r="K11" s="71"/>
      <c r="L11" s="71"/>
      <c r="M11" s="71"/>
      <c r="N11" s="115"/>
      <c r="O11" s="111"/>
      <c r="P11" s="112"/>
      <c r="Q11" s="101"/>
      <c r="R11" s="71"/>
      <c r="S11" s="71"/>
      <c r="T11" s="71"/>
      <c r="U11" s="92"/>
      <c r="V11" s="242"/>
      <c r="W11" s="243"/>
      <c r="X11" s="243"/>
      <c r="Y11" s="243"/>
      <c r="Z11" s="243"/>
      <c r="AA11" s="243"/>
      <c r="AB11" s="243"/>
      <c r="AC11" s="243"/>
      <c r="AD11" s="244"/>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71"/>
      <c r="D12" s="71"/>
      <c r="E12" s="71"/>
      <c r="F12" s="71"/>
      <c r="G12" s="71"/>
      <c r="H12" s="111"/>
      <c r="I12" s="112"/>
      <c r="J12" s="156"/>
      <c r="K12" s="157"/>
      <c r="L12" s="157"/>
      <c r="M12" s="115"/>
      <c r="N12" s="73"/>
      <c r="O12" s="111"/>
      <c r="P12" s="112"/>
      <c r="Q12" s="116"/>
      <c r="R12" s="114"/>
      <c r="S12" s="114"/>
      <c r="T12" s="114"/>
      <c r="U12" s="115"/>
      <c r="V12" s="242"/>
      <c r="W12" s="243"/>
      <c r="X12" s="243"/>
      <c r="Y12" s="243"/>
      <c r="Z12" s="243"/>
      <c r="AA12" s="243"/>
      <c r="AB12" s="243"/>
      <c r="AC12" s="243"/>
      <c r="AD12" s="244"/>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22" t="str">
        <f>Base!F9</f>
        <v>2 Conception</v>
      </c>
      <c r="C13" s="223"/>
      <c r="D13" s="223"/>
      <c r="E13" s="223"/>
      <c r="F13" s="223"/>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c r="AI13" s="223"/>
      <c r="AJ13" s="223"/>
      <c r="AK13" s="223"/>
      <c r="AL13" s="223"/>
      <c r="AM13" s="223"/>
      <c r="AN13" s="223"/>
      <c r="AO13" s="223"/>
      <c r="AP13" s="223"/>
      <c r="AQ13" s="223"/>
      <c r="AR13" s="223"/>
      <c r="AS13" s="223"/>
      <c r="AT13" s="223"/>
      <c r="AU13" s="223"/>
      <c r="AV13" s="223"/>
      <c r="AW13" s="223"/>
      <c r="AX13" s="223"/>
      <c r="AY13" s="223"/>
      <c r="AZ13" s="223"/>
      <c r="BA13" s="223"/>
      <c r="BB13" s="223"/>
      <c r="BC13" s="223"/>
      <c r="BD13" s="223"/>
      <c r="BE13" s="223"/>
      <c r="BF13" s="223"/>
      <c r="BG13" s="249"/>
    </row>
    <row r="14" spans="2:65" ht="15" customHeight="1" thickBot="1" x14ac:dyDescent="0.3">
      <c r="B14" s="224"/>
      <c r="C14" s="225"/>
      <c r="D14" s="225"/>
      <c r="E14" s="225"/>
      <c r="F14" s="225"/>
      <c r="G14" s="225"/>
      <c r="H14" s="225"/>
      <c r="I14" s="225"/>
      <c r="J14" s="225"/>
      <c r="K14" s="225"/>
      <c r="L14" s="225"/>
      <c r="M14" s="225"/>
      <c r="N14" s="225"/>
      <c r="O14" s="225"/>
      <c r="P14" s="225"/>
      <c r="Q14" s="225"/>
      <c r="R14" s="225"/>
      <c r="S14" s="225"/>
      <c r="T14" s="225"/>
      <c r="U14" s="225"/>
      <c r="V14" s="225"/>
      <c r="W14" s="225"/>
      <c r="X14" s="225"/>
      <c r="Y14" s="225"/>
      <c r="Z14" s="225"/>
      <c r="AA14" s="225"/>
      <c r="AB14" s="225"/>
      <c r="AC14" s="225"/>
      <c r="AD14" s="225"/>
      <c r="AE14" s="225"/>
      <c r="AF14" s="225"/>
      <c r="AG14" s="225"/>
      <c r="AH14" s="225"/>
      <c r="AI14" s="225"/>
      <c r="AJ14" s="225"/>
      <c r="AK14" s="225"/>
      <c r="AL14" s="225"/>
      <c r="AM14" s="225"/>
      <c r="AN14" s="225"/>
      <c r="AO14" s="225"/>
      <c r="AP14" s="225"/>
      <c r="AQ14" s="225"/>
      <c r="AR14" s="225"/>
      <c r="AS14" s="225"/>
      <c r="AT14" s="225"/>
      <c r="AU14" s="225"/>
      <c r="AV14" s="225"/>
      <c r="AW14" s="225"/>
      <c r="AX14" s="225"/>
      <c r="AY14" s="225"/>
      <c r="AZ14" s="225"/>
      <c r="BA14" s="225"/>
      <c r="BB14" s="225"/>
      <c r="BC14" s="225"/>
      <c r="BD14" s="225"/>
      <c r="BE14" s="225"/>
      <c r="BF14" s="225"/>
      <c r="BG14" s="250"/>
    </row>
    <row r="15" spans="2:65" ht="15" customHeight="1" x14ac:dyDescent="0.25">
      <c r="B15" s="39" t="str">
        <f>Base!G9</f>
        <v>21 Base de données (MCD, MLD)</v>
      </c>
      <c r="C15" s="78"/>
      <c r="D15" s="79"/>
      <c r="E15" s="79"/>
      <c r="F15" s="79"/>
      <c r="G15" s="201"/>
      <c r="H15" s="111"/>
      <c r="I15" s="112"/>
      <c r="J15" s="71"/>
      <c r="K15" s="75"/>
      <c r="L15" s="75"/>
      <c r="M15" s="71"/>
      <c r="N15" s="71"/>
      <c r="O15" s="111"/>
      <c r="P15" s="112"/>
      <c r="Q15" s="100"/>
      <c r="R15" s="79"/>
      <c r="S15" s="79"/>
      <c r="T15" s="79"/>
      <c r="U15" s="91"/>
      <c r="V15" s="242" t="s">
        <v>60</v>
      </c>
      <c r="W15" s="243"/>
      <c r="X15" s="243"/>
      <c r="Y15" s="243"/>
      <c r="Z15" s="243"/>
      <c r="AA15" s="243"/>
      <c r="AB15" s="243"/>
      <c r="AC15" s="243"/>
      <c r="AD15" s="244"/>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92"/>
      <c r="G16" s="75"/>
      <c r="H16" s="111"/>
      <c r="I16" s="112"/>
      <c r="J16" s="75"/>
      <c r="K16" s="75"/>
      <c r="L16" s="71"/>
      <c r="M16" s="71"/>
      <c r="N16" s="71"/>
      <c r="O16" s="111"/>
      <c r="P16" s="112"/>
      <c r="Q16" s="101"/>
      <c r="R16" s="71"/>
      <c r="S16" s="71"/>
      <c r="T16" s="71"/>
      <c r="U16" s="92"/>
      <c r="V16" s="242"/>
      <c r="W16" s="243"/>
      <c r="X16" s="243"/>
      <c r="Y16" s="243"/>
      <c r="Z16" s="243"/>
      <c r="AA16" s="243"/>
      <c r="AB16" s="243"/>
      <c r="AC16" s="243"/>
      <c r="AD16" s="244"/>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133"/>
      <c r="H17" s="111"/>
      <c r="I17" s="112"/>
      <c r="J17" s="71"/>
      <c r="K17" s="71"/>
      <c r="L17" s="75"/>
      <c r="M17" s="75"/>
      <c r="N17" s="75"/>
      <c r="O17" s="111"/>
      <c r="P17" s="112"/>
      <c r="Q17" s="101"/>
      <c r="R17" s="71"/>
      <c r="S17" s="71"/>
      <c r="T17" s="71"/>
      <c r="U17" s="92"/>
      <c r="V17" s="242"/>
      <c r="W17" s="243"/>
      <c r="X17" s="243"/>
      <c r="Y17" s="243"/>
      <c r="Z17" s="243"/>
      <c r="AA17" s="243"/>
      <c r="AB17" s="243"/>
      <c r="AC17" s="243"/>
      <c r="AD17" s="244"/>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3"/>
      <c r="H18" s="111"/>
      <c r="I18" s="112"/>
      <c r="J18" s="71"/>
      <c r="K18" s="71"/>
      <c r="L18" s="71"/>
      <c r="M18" s="71"/>
      <c r="N18" s="75"/>
      <c r="O18" s="111"/>
      <c r="P18" s="112"/>
      <c r="Q18" s="101"/>
      <c r="R18" s="71"/>
      <c r="S18" s="71"/>
      <c r="T18" s="71"/>
      <c r="U18" s="92"/>
      <c r="V18" s="242"/>
      <c r="W18" s="243"/>
      <c r="X18" s="243"/>
      <c r="Y18" s="243"/>
      <c r="Z18" s="243"/>
      <c r="AA18" s="243"/>
      <c r="AB18" s="243"/>
      <c r="AC18" s="243"/>
      <c r="AD18" s="244"/>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3"/>
      <c r="H19" s="111"/>
      <c r="I19" s="112"/>
      <c r="J19" s="71"/>
      <c r="K19" s="71"/>
      <c r="L19" s="71"/>
      <c r="M19" s="71"/>
      <c r="N19" s="75"/>
      <c r="O19" s="111"/>
      <c r="P19" s="112"/>
      <c r="Q19" s="101"/>
      <c r="R19" s="71"/>
      <c r="S19" s="71"/>
      <c r="T19" s="71"/>
      <c r="U19" s="92"/>
      <c r="V19" s="242"/>
      <c r="W19" s="243"/>
      <c r="X19" s="243"/>
      <c r="Y19" s="243"/>
      <c r="Z19" s="243"/>
      <c r="AA19" s="243"/>
      <c r="AB19" s="243"/>
      <c r="AC19" s="243"/>
      <c r="AD19" s="244"/>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71"/>
      <c r="K20" s="71"/>
      <c r="L20" s="71"/>
      <c r="M20" s="71"/>
      <c r="N20" s="71"/>
      <c r="O20" s="111"/>
      <c r="P20" s="112"/>
      <c r="Q20" s="116"/>
      <c r="R20" s="114"/>
      <c r="S20" s="114"/>
      <c r="T20" s="114"/>
      <c r="U20" s="115"/>
      <c r="V20" s="242"/>
      <c r="W20" s="243"/>
      <c r="X20" s="243"/>
      <c r="Y20" s="243"/>
      <c r="Z20" s="243"/>
      <c r="AA20" s="243"/>
      <c r="AB20" s="243"/>
      <c r="AC20" s="243"/>
      <c r="AD20" s="244"/>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54" t="str">
        <f>Base!F15</f>
        <v>3 Implémentation</v>
      </c>
      <c r="C21" s="255"/>
      <c r="D21" s="255"/>
      <c r="E21" s="255"/>
      <c r="F21" s="255"/>
      <c r="G21" s="255"/>
      <c r="H21" s="255"/>
      <c r="I21" s="255"/>
      <c r="J21" s="255"/>
      <c r="K21" s="255"/>
      <c r="L21" s="255"/>
      <c r="M21" s="255"/>
      <c r="N21" s="255"/>
      <c r="O21" s="255"/>
      <c r="P21" s="255"/>
      <c r="Q21" s="255"/>
      <c r="R21" s="255"/>
      <c r="S21" s="255"/>
      <c r="T21" s="255"/>
      <c r="U21" s="255"/>
      <c r="V21" s="255"/>
      <c r="W21" s="255"/>
      <c r="X21" s="255"/>
      <c r="Y21" s="255"/>
      <c r="Z21" s="255"/>
      <c r="AA21" s="255"/>
      <c r="AB21" s="255"/>
      <c r="AC21" s="255"/>
      <c r="AD21" s="255"/>
      <c r="AE21" s="255"/>
      <c r="AF21" s="255"/>
      <c r="AG21" s="255"/>
      <c r="AH21" s="255"/>
      <c r="AI21" s="255"/>
      <c r="AJ21" s="255"/>
      <c r="AK21" s="255"/>
      <c r="AL21" s="255"/>
      <c r="AM21" s="255"/>
      <c r="AN21" s="255"/>
      <c r="AO21" s="255"/>
      <c r="AP21" s="255"/>
      <c r="AQ21" s="255"/>
      <c r="AR21" s="255"/>
      <c r="AS21" s="255"/>
      <c r="AT21" s="255"/>
      <c r="AU21" s="255"/>
      <c r="AV21" s="255"/>
      <c r="AW21" s="255"/>
      <c r="AX21" s="255"/>
      <c r="AY21" s="255"/>
      <c r="AZ21" s="255"/>
      <c r="BA21" s="255"/>
      <c r="BB21" s="255"/>
      <c r="BC21" s="255"/>
      <c r="BD21" s="255"/>
      <c r="BE21" s="255"/>
      <c r="BF21" s="255"/>
      <c r="BG21" s="256"/>
    </row>
    <row r="22" spans="2:59" ht="15.75" thickBot="1" x14ac:dyDescent="0.3">
      <c r="B22" s="257"/>
      <c r="C22" s="258"/>
      <c r="D22" s="258"/>
      <c r="E22" s="258"/>
      <c r="F22" s="258"/>
      <c r="G22" s="258"/>
      <c r="H22" s="258"/>
      <c r="I22" s="258"/>
      <c r="J22" s="258"/>
      <c r="K22" s="258"/>
      <c r="L22" s="258"/>
      <c r="M22" s="258"/>
      <c r="N22" s="258"/>
      <c r="O22" s="258"/>
      <c r="P22" s="258"/>
      <c r="Q22" s="258"/>
      <c r="R22" s="258"/>
      <c r="S22" s="258"/>
      <c r="T22" s="258"/>
      <c r="U22" s="258"/>
      <c r="V22" s="258"/>
      <c r="W22" s="258"/>
      <c r="X22" s="258"/>
      <c r="Y22" s="258"/>
      <c r="Z22" s="258"/>
      <c r="AA22" s="258"/>
      <c r="AB22" s="258"/>
      <c r="AC22" s="258"/>
      <c r="AD22" s="258"/>
      <c r="AE22" s="258"/>
      <c r="AF22" s="258"/>
      <c r="AG22" s="258"/>
      <c r="AH22" s="258"/>
      <c r="AI22" s="258"/>
      <c r="AJ22" s="258"/>
      <c r="AK22" s="258"/>
      <c r="AL22" s="258"/>
      <c r="AM22" s="258"/>
      <c r="AN22" s="258"/>
      <c r="AO22" s="258"/>
      <c r="AP22" s="258"/>
      <c r="AQ22" s="258"/>
      <c r="AR22" s="258"/>
      <c r="AS22" s="258"/>
      <c r="AT22" s="258"/>
      <c r="AU22" s="258"/>
      <c r="AV22" s="258"/>
      <c r="AW22" s="258"/>
      <c r="AX22" s="258"/>
      <c r="AY22" s="258"/>
      <c r="AZ22" s="258"/>
      <c r="BA22" s="258"/>
      <c r="BB22" s="258"/>
      <c r="BC22" s="258"/>
      <c r="BD22" s="258"/>
      <c r="BE22" s="258"/>
      <c r="BF22" s="258"/>
      <c r="BG22" s="259"/>
    </row>
    <row r="23" spans="2:59" ht="15" customHeight="1" x14ac:dyDescent="0.25">
      <c r="B23" s="39" t="str">
        <f>Base!G15</f>
        <v>30 Base du projet C# (classe … )</v>
      </c>
      <c r="C23" s="78"/>
      <c r="D23" s="79"/>
      <c r="E23" s="79"/>
      <c r="F23" s="79"/>
      <c r="G23" s="91"/>
      <c r="H23" s="111"/>
      <c r="I23" s="112"/>
      <c r="J23" s="100"/>
      <c r="K23" s="79"/>
      <c r="L23" s="132"/>
      <c r="M23" s="132"/>
      <c r="N23" s="135"/>
      <c r="O23" s="111"/>
      <c r="P23" s="112"/>
      <c r="Q23" s="134"/>
      <c r="R23" s="134"/>
      <c r="S23" s="135"/>
      <c r="T23" s="134"/>
      <c r="U23" s="135"/>
      <c r="V23" s="242" t="s">
        <v>61</v>
      </c>
      <c r="W23" s="243"/>
      <c r="X23" s="243"/>
      <c r="Y23" s="243"/>
      <c r="Z23" s="243"/>
      <c r="AA23" s="243"/>
      <c r="AB23" s="243"/>
      <c r="AC23" s="243"/>
      <c r="AD23" s="244"/>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0"/>
      <c r="M24" s="70"/>
      <c r="N24" s="93"/>
      <c r="O24" s="111"/>
      <c r="P24" s="112"/>
      <c r="Q24" s="76"/>
      <c r="R24" s="70"/>
      <c r="S24" s="92"/>
      <c r="T24" s="71"/>
      <c r="U24" s="92"/>
      <c r="V24" s="242"/>
      <c r="W24" s="243"/>
      <c r="X24" s="243"/>
      <c r="Y24" s="243"/>
      <c r="Z24" s="243"/>
      <c r="AA24" s="243"/>
      <c r="AB24" s="243"/>
      <c r="AC24" s="243"/>
      <c r="AD24" s="244"/>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0"/>
      <c r="M25" s="70"/>
      <c r="N25" s="93"/>
      <c r="O25" s="111"/>
      <c r="P25" s="112"/>
      <c r="Q25" s="71"/>
      <c r="R25" s="76"/>
      <c r="S25" s="96"/>
      <c r="T25" s="71"/>
      <c r="U25" s="92"/>
      <c r="V25" s="242"/>
      <c r="W25" s="243"/>
      <c r="X25" s="243"/>
      <c r="Y25" s="243"/>
      <c r="Z25" s="243"/>
      <c r="AA25" s="243"/>
      <c r="AB25" s="243"/>
      <c r="AC25" s="243"/>
      <c r="AD25" s="244"/>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0"/>
      <c r="M26" s="70"/>
      <c r="N26" s="93"/>
      <c r="O26" s="111"/>
      <c r="P26" s="112"/>
      <c r="Q26" s="114"/>
      <c r="R26" s="114"/>
      <c r="S26" s="120"/>
      <c r="T26" s="71"/>
      <c r="U26" s="92"/>
      <c r="V26" s="242"/>
      <c r="W26" s="243"/>
      <c r="X26" s="243"/>
      <c r="Y26" s="243"/>
      <c r="Z26" s="243"/>
      <c r="AA26" s="243"/>
      <c r="AB26" s="243"/>
      <c r="AC26" s="243"/>
      <c r="AD26" s="244"/>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0"/>
      <c r="M27" s="70"/>
      <c r="N27" s="92"/>
      <c r="O27" s="111"/>
      <c r="P27" s="112"/>
      <c r="Q27" s="200"/>
      <c r="R27" s="70"/>
      <c r="S27" s="118"/>
      <c r="T27" s="103"/>
      <c r="U27" s="96"/>
      <c r="V27" s="242"/>
      <c r="W27" s="243"/>
      <c r="X27" s="243"/>
      <c r="Y27" s="243"/>
      <c r="Z27" s="243"/>
      <c r="AA27" s="243"/>
      <c r="AB27" s="243"/>
      <c r="AC27" s="243"/>
      <c r="AD27" s="244"/>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99"/>
      <c r="Q28" s="202"/>
      <c r="R28" s="70"/>
      <c r="S28" s="70"/>
      <c r="T28" s="103"/>
      <c r="U28" s="96"/>
      <c r="V28" s="242"/>
      <c r="W28" s="243"/>
      <c r="X28" s="243"/>
      <c r="Y28" s="243"/>
      <c r="Z28" s="243"/>
      <c r="AA28" s="243"/>
      <c r="AB28" s="243"/>
      <c r="AC28" s="243"/>
      <c r="AD28" s="244"/>
      <c r="AE28" s="103"/>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37"/>
      <c r="R29" s="132"/>
      <c r="S29" s="71"/>
      <c r="T29" s="71"/>
      <c r="U29" s="92"/>
      <c r="V29" s="242"/>
      <c r="W29" s="243"/>
      <c r="X29" s="243"/>
      <c r="Y29" s="243"/>
      <c r="Z29" s="243"/>
      <c r="AA29" s="243"/>
      <c r="AB29" s="243"/>
      <c r="AC29" s="243"/>
      <c r="AD29" s="244"/>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42"/>
      <c r="W30" s="243"/>
      <c r="X30" s="243"/>
      <c r="Y30" s="243"/>
      <c r="Z30" s="243"/>
      <c r="AA30" s="243"/>
      <c r="AB30" s="243"/>
      <c r="AC30" s="243"/>
      <c r="AD30" s="244"/>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42"/>
      <c r="W31" s="243"/>
      <c r="X31" s="243"/>
      <c r="Y31" s="243"/>
      <c r="Z31" s="243"/>
      <c r="AA31" s="243"/>
      <c r="AB31" s="243"/>
      <c r="AC31" s="243"/>
      <c r="AD31" s="244"/>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42"/>
      <c r="W32" s="243"/>
      <c r="X32" s="243"/>
      <c r="Y32" s="243"/>
      <c r="Z32" s="243"/>
      <c r="AA32" s="243"/>
      <c r="AB32" s="243"/>
      <c r="AC32" s="243"/>
      <c r="AD32" s="244"/>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30" t="str">
        <f>Base!F25</f>
        <v>4 Tests</v>
      </c>
      <c r="C33" s="231"/>
      <c r="D33" s="231"/>
      <c r="E33" s="231"/>
      <c r="F33" s="231"/>
      <c r="G33" s="231"/>
      <c r="H33" s="231"/>
      <c r="I33" s="231"/>
      <c r="J33" s="231"/>
      <c r="K33" s="231"/>
      <c r="L33" s="231"/>
      <c r="M33" s="231"/>
      <c r="N33" s="231"/>
      <c r="O33" s="231"/>
      <c r="P33" s="231"/>
      <c r="Q33" s="231"/>
      <c r="R33" s="231"/>
      <c r="S33" s="231"/>
      <c r="T33" s="231"/>
      <c r="U33" s="231"/>
      <c r="V33" s="231"/>
      <c r="W33" s="231"/>
      <c r="X33" s="231"/>
      <c r="Y33" s="231"/>
      <c r="Z33" s="231"/>
      <c r="AA33" s="231"/>
      <c r="AB33" s="231"/>
      <c r="AC33" s="231"/>
      <c r="AD33" s="231"/>
      <c r="AE33" s="231"/>
      <c r="AF33" s="231"/>
      <c r="AG33" s="231"/>
      <c r="AH33" s="231"/>
      <c r="AI33" s="231"/>
      <c r="AJ33" s="231"/>
      <c r="AK33" s="231"/>
      <c r="AL33" s="231"/>
      <c r="AM33" s="231"/>
      <c r="AN33" s="231"/>
      <c r="AO33" s="231"/>
      <c r="AP33" s="231"/>
      <c r="AQ33" s="231"/>
      <c r="AR33" s="231"/>
      <c r="AS33" s="231"/>
      <c r="AT33" s="231"/>
      <c r="AU33" s="231"/>
      <c r="AV33" s="231"/>
      <c r="AW33" s="231"/>
      <c r="AX33" s="231"/>
      <c r="AY33" s="231"/>
      <c r="AZ33" s="231"/>
      <c r="BA33" s="231"/>
      <c r="BB33" s="231"/>
      <c r="BC33" s="231"/>
      <c r="BD33" s="231"/>
      <c r="BE33" s="231"/>
      <c r="BF33" s="231"/>
      <c r="BG33" s="232"/>
    </row>
    <row r="34" spans="2:59" ht="15.75" customHeight="1" thickBot="1" x14ac:dyDescent="0.3">
      <c r="B34" s="233"/>
      <c r="C34" s="234"/>
      <c r="D34" s="234"/>
      <c r="E34" s="234"/>
      <c r="F34" s="234"/>
      <c r="G34" s="234"/>
      <c r="H34" s="234"/>
      <c r="I34" s="234"/>
      <c r="J34" s="234"/>
      <c r="K34" s="234"/>
      <c r="L34" s="234"/>
      <c r="M34" s="234"/>
      <c r="N34" s="234"/>
      <c r="O34" s="234"/>
      <c r="P34" s="234"/>
      <c r="Q34" s="234"/>
      <c r="R34" s="234"/>
      <c r="S34" s="234"/>
      <c r="T34" s="234"/>
      <c r="U34" s="234"/>
      <c r="V34" s="234"/>
      <c r="W34" s="234"/>
      <c r="X34" s="234"/>
      <c r="Y34" s="234"/>
      <c r="Z34" s="234"/>
      <c r="AA34" s="234"/>
      <c r="AB34" s="234"/>
      <c r="AC34" s="234"/>
      <c r="AD34" s="234"/>
      <c r="AE34" s="234"/>
      <c r="AF34" s="234"/>
      <c r="AG34" s="234"/>
      <c r="AH34" s="234"/>
      <c r="AI34" s="234"/>
      <c r="AJ34" s="234"/>
      <c r="AK34" s="234"/>
      <c r="AL34" s="234"/>
      <c r="AM34" s="234"/>
      <c r="AN34" s="234"/>
      <c r="AO34" s="234"/>
      <c r="AP34" s="234"/>
      <c r="AQ34" s="234"/>
      <c r="AR34" s="234"/>
      <c r="AS34" s="234"/>
      <c r="AT34" s="234"/>
      <c r="AU34" s="234"/>
      <c r="AV34" s="234"/>
      <c r="AW34" s="234"/>
      <c r="AX34" s="234"/>
      <c r="AY34" s="234"/>
      <c r="AZ34" s="234"/>
      <c r="BA34" s="234"/>
      <c r="BB34" s="234"/>
      <c r="BC34" s="234"/>
      <c r="BD34" s="234"/>
      <c r="BE34" s="234"/>
      <c r="BF34" s="234"/>
      <c r="BG34" s="235"/>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42" t="s">
        <v>62</v>
      </c>
      <c r="W35" s="243"/>
      <c r="X35" s="243"/>
      <c r="Y35" s="243"/>
      <c r="Z35" s="243"/>
      <c r="AA35" s="243"/>
      <c r="AB35" s="243"/>
      <c r="AC35" s="243"/>
      <c r="AD35" s="244"/>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42"/>
      <c r="W36" s="243"/>
      <c r="X36" s="243"/>
      <c r="Y36" s="243"/>
      <c r="Z36" s="243"/>
      <c r="AA36" s="243"/>
      <c r="AB36" s="243"/>
      <c r="AC36" s="243"/>
      <c r="AD36" s="244"/>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42"/>
      <c r="W37" s="243"/>
      <c r="X37" s="243"/>
      <c r="Y37" s="243"/>
      <c r="Z37" s="243"/>
      <c r="AA37" s="243"/>
      <c r="AB37" s="243"/>
      <c r="AC37" s="243"/>
      <c r="AD37" s="244"/>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42"/>
      <c r="W38" s="243"/>
      <c r="X38" s="243"/>
      <c r="Y38" s="243"/>
      <c r="Z38" s="243"/>
      <c r="AA38" s="243"/>
      <c r="AB38" s="243"/>
      <c r="AC38" s="243"/>
      <c r="AD38" s="244"/>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42"/>
      <c r="W39" s="243"/>
      <c r="X39" s="243"/>
      <c r="Y39" s="243"/>
      <c r="Z39" s="243"/>
      <c r="AA39" s="243"/>
      <c r="AB39" s="243"/>
      <c r="AC39" s="243"/>
      <c r="AD39" s="244"/>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42"/>
      <c r="W40" s="243"/>
      <c r="X40" s="243"/>
      <c r="Y40" s="243"/>
      <c r="Z40" s="243"/>
      <c r="AA40" s="243"/>
      <c r="AB40" s="243"/>
      <c r="AC40" s="243"/>
      <c r="AD40" s="244"/>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36" t="str">
        <f>Base!F31</f>
        <v>5 Documentation</v>
      </c>
      <c r="C41" s="237"/>
      <c r="D41" s="237"/>
      <c r="E41" s="237"/>
      <c r="F41" s="237"/>
      <c r="G41" s="237"/>
      <c r="H41" s="237"/>
      <c r="I41" s="237"/>
      <c r="J41" s="237"/>
      <c r="K41" s="237"/>
      <c r="L41" s="237"/>
      <c r="M41" s="237"/>
      <c r="N41" s="237"/>
      <c r="O41" s="237"/>
      <c r="P41" s="237"/>
      <c r="Q41" s="237"/>
      <c r="R41" s="237"/>
      <c r="S41" s="237"/>
      <c r="T41" s="237"/>
      <c r="U41" s="237"/>
      <c r="V41" s="237"/>
      <c r="W41" s="237"/>
      <c r="X41" s="237"/>
      <c r="Y41" s="237"/>
      <c r="Z41" s="237"/>
      <c r="AA41" s="237"/>
      <c r="AB41" s="237"/>
      <c r="AC41" s="237"/>
      <c r="AD41" s="237"/>
      <c r="AE41" s="237"/>
      <c r="AF41" s="237"/>
      <c r="AG41" s="237"/>
      <c r="AH41" s="237"/>
      <c r="AI41" s="237"/>
      <c r="AJ41" s="237"/>
      <c r="AK41" s="237"/>
      <c r="AL41" s="237"/>
      <c r="AM41" s="237"/>
      <c r="AN41" s="237"/>
      <c r="AO41" s="237"/>
      <c r="AP41" s="237"/>
      <c r="AQ41" s="237"/>
      <c r="AR41" s="237"/>
      <c r="AS41" s="237"/>
      <c r="AT41" s="237"/>
      <c r="AU41" s="237"/>
      <c r="AV41" s="237"/>
      <c r="AW41" s="237"/>
      <c r="AX41" s="237"/>
      <c r="AY41" s="237"/>
      <c r="AZ41" s="237"/>
      <c r="BA41" s="237"/>
      <c r="BB41" s="237"/>
      <c r="BC41" s="237"/>
      <c r="BD41" s="237"/>
      <c r="BE41" s="237"/>
      <c r="BF41" s="237"/>
      <c r="BG41" s="238"/>
    </row>
    <row r="42" spans="2:59" ht="15.75" thickBot="1" x14ac:dyDescent="0.3">
      <c r="B42" s="239"/>
      <c r="C42" s="240"/>
      <c r="D42" s="240"/>
      <c r="E42" s="240"/>
      <c r="F42" s="240"/>
      <c r="G42" s="240"/>
      <c r="H42" s="240"/>
      <c r="I42" s="240"/>
      <c r="J42" s="240"/>
      <c r="K42" s="240"/>
      <c r="L42" s="240"/>
      <c r="M42" s="240"/>
      <c r="N42" s="240"/>
      <c r="O42" s="240"/>
      <c r="P42" s="240"/>
      <c r="Q42" s="240"/>
      <c r="R42" s="240"/>
      <c r="S42" s="240"/>
      <c r="T42" s="240"/>
      <c r="U42" s="240"/>
      <c r="V42" s="240"/>
      <c r="W42" s="240"/>
      <c r="X42" s="240"/>
      <c r="Y42" s="240"/>
      <c r="Z42" s="240"/>
      <c r="AA42" s="240"/>
      <c r="AB42" s="240"/>
      <c r="AC42" s="240"/>
      <c r="AD42" s="240"/>
      <c r="AE42" s="240"/>
      <c r="AF42" s="240"/>
      <c r="AG42" s="240"/>
      <c r="AH42" s="240"/>
      <c r="AI42" s="240"/>
      <c r="AJ42" s="240"/>
      <c r="AK42" s="240"/>
      <c r="AL42" s="240"/>
      <c r="AM42" s="240"/>
      <c r="AN42" s="240"/>
      <c r="AO42" s="240"/>
      <c r="AP42" s="240"/>
      <c r="AQ42" s="240"/>
      <c r="AR42" s="240"/>
      <c r="AS42" s="240"/>
      <c r="AT42" s="240"/>
      <c r="AU42" s="240"/>
      <c r="AV42" s="240"/>
      <c r="AW42" s="240"/>
      <c r="AX42" s="240"/>
      <c r="AY42" s="240"/>
      <c r="AZ42" s="240"/>
      <c r="BA42" s="240"/>
      <c r="BB42" s="240"/>
      <c r="BC42" s="240"/>
      <c r="BD42" s="240"/>
      <c r="BE42" s="240"/>
      <c r="BF42" s="240"/>
      <c r="BG42" s="241"/>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42" t="s">
        <v>63</v>
      </c>
      <c r="W43" s="243"/>
      <c r="X43" s="243"/>
      <c r="Y43" s="243"/>
      <c r="Z43" s="243"/>
      <c r="AA43" s="243"/>
      <c r="AB43" s="243"/>
      <c r="AC43" s="243"/>
      <c r="AD43" s="244"/>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42"/>
      <c r="W44" s="243"/>
      <c r="X44" s="243"/>
      <c r="Y44" s="243"/>
      <c r="Z44" s="243"/>
      <c r="AA44" s="243"/>
      <c r="AB44" s="243"/>
      <c r="AC44" s="243"/>
      <c r="AD44" s="244"/>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42"/>
      <c r="W45" s="243"/>
      <c r="X45" s="243"/>
      <c r="Y45" s="243"/>
      <c r="Z45" s="243"/>
      <c r="AA45" s="243"/>
      <c r="AB45" s="243"/>
      <c r="AC45" s="243"/>
      <c r="AD45" s="244"/>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42"/>
      <c r="W46" s="243"/>
      <c r="X46" s="243"/>
      <c r="Y46" s="243"/>
      <c r="Z46" s="243"/>
      <c r="AA46" s="243"/>
      <c r="AB46" s="243"/>
      <c r="AC46" s="243"/>
      <c r="AD46" s="244"/>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42"/>
      <c r="W47" s="243"/>
      <c r="X47" s="243"/>
      <c r="Y47" s="243"/>
      <c r="Z47" s="243"/>
      <c r="AA47" s="243"/>
      <c r="AB47" s="243"/>
      <c r="AC47" s="243"/>
      <c r="AD47" s="244"/>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45"/>
      <c r="W48" s="246"/>
      <c r="X48" s="246"/>
      <c r="Y48" s="246"/>
      <c r="Z48" s="246"/>
      <c r="AA48" s="246"/>
      <c r="AB48" s="246"/>
      <c r="AC48" s="246"/>
      <c r="AD48" s="247"/>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V23:AD32"/>
    <mergeCell ref="B33:BG34"/>
    <mergeCell ref="V35:AD40"/>
    <mergeCell ref="B41:BG42"/>
    <mergeCell ref="V43:AD48"/>
    <mergeCell ref="B21:BG22"/>
    <mergeCell ref="V15:AD20"/>
    <mergeCell ref="C4:I4"/>
    <mergeCell ref="J4:P4"/>
    <mergeCell ref="Q4:W4"/>
    <mergeCell ref="X4:AD4"/>
    <mergeCell ref="AS4:AY4"/>
    <mergeCell ref="AZ4:BF4"/>
    <mergeCell ref="B5:BG6"/>
    <mergeCell ref="V7:AD12"/>
    <mergeCell ref="B13:BG14"/>
    <mergeCell ref="AE4:AK4"/>
    <mergeCell ref="AL4:AR4"/>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8" tint="0.39997558519241921"/>
    <pageSetUpPr fitToPage="1"/>
  </sheetPr>
  <dimension ref="B1:H54"/>
  <sheetViews>
    <sheetView tabSelected="1" topLeftCell="D1" zoomScaleNormal="100" workbookViewId="0">
      <pane ySplit="3" topLeftCell="A25" activePane="bottomLeft" state="frozen"/>
      <selection pane="bottomLeft" activeCell="F34" sqref="F34"/>
    </sheetView>
  </sheetViews>
  <sheetFormatPr baseColWidth="10" defaultRowHeight="15" x14ac:dyDescent="0.25"/>
  <cols>
    <col min="1" max="1" width="2" style="158" customWidth="1"/>
    <col min="2" max="2" width="17.28515625" style="161" bestFit="1" customWidth="1"/>
    <col min="3" max="3" width="8.7109375" style="161" bestFit="1" customWidth="1"/>
    <col min="4" max="4" width="29.7109375" style="161" bestFit="1" customWidth="1"/>
    <col min="5" max="5" width="8.5703125" style="161" bestFit="1" customWidth="1"/>
    <col min="6" max="6" width="7.28515625" style="161" bestFit="1" customWidth="1"/>
    <col min="7" max="7" width="53" style="192" customWidth="1"/>
    <col min="8" max="16384" width="11.42578125" style="158"/>
  </cols>
  <sheetData>
    <row r="1" spans="2:7" x14ac:dyDescent="0.25">
      <c r="B1" s="159" t="s">
        <v>5</v>
      </c>
      <c r="C1" s="159"/>
      <c r="D1" s="160" t="str">
        <f>CONCATENATE(Base!C3," ",Base!D3)</f>
        <v>Costa Paola</v>
      </c>
      <c r="F1" s="162"/>
      <c r="G1" s="187"/>
    </row>
    <row r="2" spans="2:7" ht="15.75" thickBot="1" x14ac:dyDescent="0.3">
      <c r="B2" s="160" t="s">
        <v>11</v>
      </c>
      <c r="C2" s="162"/>
      <c r="D2" s="162"/>
      <c r="F2" s="162"/>
      <c r="G2" s="188"/>
    </row>
    <row r="3" spans="2:7" ht="15.75" thickBot="1" x14ac:dyDescent="0.3">
      <c r="B3" s="163" t="s">
        <v>1</v>
      </c>
      <c r="C3" s="163" t="s">
        <v>80</v>
      </c>
      <c r="D3" s="164" t="s">
        <v>6</v>
      </c>
      <c r="E3" s="165" t="s">
        <v>66</v>
      </c>
      <c r="F3" s="163" t="s">
        <v>2</v>
      </c>
      <c r="G3" s="189" t="s">
        <v>3</v>
      </c>
    </row>
    <row r="4" spans="2:7" x14ac:dyDescent="0.25">
      <c r="B4" s="166">
        <v>44228</v>
      </c>
      <c r="C4" s="167">
        <f>WEEKNUM(B4,1)</f>
        <v>6</v>
      </c>
      <c r="D4" s="168" t="s">
        <v>48</v>
      </c>
      <c r="E4" s="169" t="s">
        <v>68</v>
      </c>
      <c r="F4" s="170">
        <v>4.1666666666666664E-2</v>
      </c>
      <c r="G4" s="190" t="s">
        <v>31</v>
      </c>
    </row>
    <row r="5" spans="2:7" x14ac:dyDescent="0.25">
      <c r="B5" s="171">
        <v>44228</v>
      </c>
      <c r="C5" s="172">
        <f>WEEKNUM(B5,1)</f>
        <v>6</v>
      </c>
      <c r="D5" s="173" t="s">
        <v>51</v>
      </c>
      <c r="E5" s="174"/>
      <c r="F5" s="175">
        <v>6.9444444444444441E-3</v>
      </c>
      <c r="G5" s="155" t="s">
        <v>50</v>
      </c>
    </row>
    <row r="6" spans="2:7" x14ac:dyDescent="0.25">
      <c r="B6" s="171">
        <v>44228</v>
      </c>
      <c r="C6" s="172">
        <f t="shared" ref="C6:C49" si="0">WEEKNUM(B6,1)</f>
        <v>6</v>
      </c>
      <c r="D6" s="173" t="s">
        <v>48</v>
      </c>
      <c r="E6" s="174" t="s">
        <v>67</v>
      </c>
      <c r="F6" s="175">
        <v>2.0833333333333332E-2</v>
      </c>
      <c r="G6" s="155" t="s">
        <v>55</v>
      </c>
    </row>
    <row r="7" spans="2:7" x14ac:dyDescent="0.25">
      <c r="B7" s="171">
        <v>44230</v>
      </c>
      <c r="C7" s="172">
        <f t="shared" si="0"/>
        <v>6</v>
      </c>
      <c r="D7" s="173" t="s">
        <v>45</v>
      </c>
      <c r="E7" s="174" t="s">
        <v>67</v>
      </c>
      <c r="F7" s="175">
        <v>2.0833333333333332E-2</v>
      </c>
      <c r="G7" s="155" t="s">
        <v>56</v>
      </c>
    </row>
    <row r="8" spans="2:7" ht="30" x14ac:dyDescent="0.25">
      <c r="B8" s="171">
        <v>44230</v>
      </c>
      <c r="C8" s="172">
        <f t="shared" si="0"/>
        <v>6</v>
      </c>
      <c r="D8" s="173" t="s">
        <v>49</v>
      </c>
      <c r="E8" s="174" t="s">
        <v>68</v>
      </c>
      <c r="F8" s="175">
        <v>2.0833333333333332E-2</v>
      </c>
      <c r="G8" s="155" t="s">
        <v>57</v>
      </c>
    </row>
    <row r="9" spans="2:7" x14ac:dyDescent="0.25">
      <c r="B9" s="171">
        <v>44231</v>
      </c>
      <c r="C9" s="172">
        <f t="shared" si="0"/>
        <v>6</v>
      </c>
      <c r="D9" s="173" t="s">
        <v>49</v>
      </c>
      <c r="E9" s="174" t="s">
        <v>67</v>
      </c>
      <c r="F9" s="175">
        <v>2.0833333333333332E-2</v>
      </c>
      <c r="G9" s="155" t="s">
        <v>65</v>
      </c>
    </row>
    <row r="10" spans="2:7" x14ac:dyDescent="0.25">
      <c r="B10" s="171">
        <v>44231</v>
      </c>
      <c r="C10" s="172">
        <f t="shared" si="0"/>
        <v>6</v>
      </c>
      <c r="D10" s="173" t="s">
        <v>46</v>
      </c>
      <c r="E10" s="174" t="s">
        <v>67</v>
      </c>
      <c r="F10" s="175">
        <v>2.0833333333333332E-2</v>
      </c>
      <c r="G10" s="155" t="s">
        <v>69</v>
      </c>
    </row>
    <row r="11" spans="2:7" x14ac:dyDescent="0.25">
      <c r="B11" s="171">
        <v>44231</v>
      </c>
      <c r="C11" s="172">
        <f t="shared" si="0"/>
        <v>6</v>
      </c>
      <c r="D11" s="173" t="s">
        <v>27</v>
      </c>
      <c r="E11" s="174" t="s">
        <v>68</v>
      </c>
      <c r="F11" s="175">
        <v>1.3888888888888888E-2</v>
      </c>
      <c r="G11" s="155" t="s">
        <v>70</v>
      </c>
    </row>
    <row r="12" spans="2:7" x14ac:dyDescent="0.25">
      <c r="B12" s="171">
        <v>44232</v>
      </c>
      <c r="C12" s="172">
        <f t="shared" si="0"/>
        <v>6</v>
      </c>
      <c r="D12" s="173" t="s">
        <v>51</v>
      </c>
      <c r="E12" s="174"/>
      <c r="F12" s="175">
        <v>3.472222222222222E-3</v>
      </c>
      <c r="G12" s="155" t="s">
        <v>75</v>
      </c>
    </row>
    <row r="13" spans="2:7" x14ac:dyDescent="0.25">
      <c r="B13" s="171">
        <v>44232</v>
      </c>
      <c r="C13" s="172">
        <f t="shared" si="0"/>
        <v>6</v>
      </c>
      <c r="D13" s="173" t="s">
        <v>47</v>
      </c>
      <c r="E13" s="176" t="s">
        <v>67</v>
      </c>
      <c r="F13" s="175">
        <v>2.0833333333333332E-2</v>
      </c>
      <c r="G13" s="155" t="s">
        <v>77</v>
      </c>
    </row>
    <row r="14" spans="2:7" x14ac:dyDescent="0.25">
      <c r="B14" s="171">
        <v>44232</v>
      </c>
      <c r="C14" s="172">
        <f t="shared" si="0"/>
        <v>6</v>
      </c>
      <c r="D14" s="173" t="s">
        <v>27</v>
      </c>
      <c r="E14" s="174" t="s">
        <v>68</v>
      </c>
      <c r="F14" s="175">
        <v>2.4305555555555556E-2</v>
      </c>
      <c r="G14" s="155" t="s">
        <v>78</v>
      </c>
    </row>
    <row r="15" spans="2:7" ht="30" x14ac:dyDescent="0.25">
      <c r="B15" s="171">
        <v>44232</v>
      </c>
      <c r="C15" s="172">
        <f t="shared" si="0"/>
        <v>6</v>
      </c>
      <c r="D15" s="173" t="s">
        <v>73</v>
      </c>
      <c r="E15" s="174"/>
      <c r="F15" s="175">
        <v>6.9444444444444441E-3</v>
      </c>
      <c r="G15" s="155" t="s">
        <v>94</v>
      </c>
    </row>
    <row r="16" spans="2:7" ht="30" x14ac:dyDescent="0.25">
      <c r="B16" s="171">
        <v>44232</v>
      </c>
      <c r="C16" s="172">
        <f t="shared" si="0"/>
        <v>6</v>
      </c>
      <c r="D16" s="173" t="s">
        <v>27</v>
      </c>
      <c r="E16" s="174" t="s">
        <v>68</v>
      </c>
      <c r="F16" s="175">
        <v>1.3888888888888888E-2</v>
      </c>
      <c r="G16" s="155" t="s">
        <v>79</v>
      </c>
    </row>
    <row r="17" spans="2:8" ht="30" x14ac:dyDescent="0.25">
      <c r="B17" s="171">
        <v>44232</v>
      </c>
      <c r="C17" s="172">
        <f t="shared" si="0"/>
        <v>6</v>
      </c>
      <c r="D17" s="173" t="s">
        <v>51</v>
      </c>
      <c r="E17" s="174"/>
      <c r="F17" s="175">
        <v>2.0833333333333332E-2</v>
      </c>
      <c r="G17" s="155" t="s">
        <v>83</v>
      </c>
    </row>
    <row r="18" spans="2:8" x14ac:dyDescent="0.25">
      <c r="B18" s="193"/>
      <c r="C18" s="194"/>
      <c r="D18" s="195"/>
      <c r="E18" s="196"/>
      <c r="F18" s="197"/>
      <c r="G18" s="198"/>
    </row>
    <row r="19" spans="2:8" x14ac:dyDescent="0.25">
      <c r="B19" s="171">
        <v>44235</v>
      </c>
      <c r="C19" s="172">
        <f t="shared" si="0"/>
        <v>7</v>
      </c>
      <c r="D19" s="173" t="s">
        <v>27</v>
      </c>
      <c r="E19" s="174" t="s">
        <v>68</v>
      </c>
      <c r="F19" s="175">
        <v>3.125E-2</v>
      </c>
      <c r="G19" s="155" t="s">
        <v>87</v>
      </c>
    </row>
    <row r="20" spans="2:8" ht="45" x14ac:dyDescent="0.25">
      <c r="B20" s="171">
        <v>44235</v>
      </c>
      <c r="C20" s="172">
        <f t="shared" si="0"/>
        <v>7</v>
      </c>
      <c r="D20" s="173" t="s">
        <v>51</v>
      </c>
      <c r="E20" s="174"/>
      <c r="F20" s="175">
        <v>3.125E-2</v>
      </c>
      <c r="G20" s="155" t="s">
        <v>93</v>
      </c>
    </row>
    <row r="21" spans="2:8" ht="30" x14ac:dyDescent="0.25">
      <c r="B21" s="171">
        <v>44235</v>
      </c>
      <c r="C21" s="172">
        <f t="shared" si="0"/>
        <v>7</v>
      </c>
      <c r="D21" s="173" t="s">
        <v>26</v>
      </c>
      <c r="E21" s="174" t="s">
        <v>68</v>
      </c>
      <c r="F21" s="175">
        <v>1.3888888888888888E-2</v>
      </c>
      <c r="G21" s="155" t="s">
        <v>95</v>
      </c>
    </row>
    <row r="22" spans="2:8" x14ac:dyDescent="0.25">
      <c r="B22" s="171">
        <v>44235</v>
      </c>
      <c r="C22" s="172">
        <f t="shared" si="0"/>
        <v>7</v>
      </c>
      <c r="D22" s="173" t="s">
        <v>26</v>
      </c>
      <c r="E22" s="174" t="s">
        <v>68</v>
      </c>
      <c r="F22" s="175">
        <v>4.8611111111111112E-2</v>
      </c>
      <c r="G22" s="155" t="s">
        <v>88</v>
      </c>
    </row>
    <row r="23" spans="2:8" ht="30" x14ac:dyDescent="0.25">
      <c r="B23" s="171">
        <v>44235</v>
      </c>
      <c r="C23" s="172">
        <f t="shared" si="0"/>
        <v>7</v>
      </c>
      <c r="D23" s="173" t="s">
        <v>51</v>
      </c>
      <c r="E23" s="174"/>
      <c r="F23" s="175">
        <v>1.0416666666666666E-2</v>
      </c>
      <c r="G23" s="155" t="s">
        <v>92</v>
      </c>
      <c r="H23" s="158" t="s">
        <v>90</v>
      </c>
    </row>
    <row r="24" spans="2:8" x14ac:dyDescent="0.25">
      <c r="B24" s="171">
        <v>44237</v>
      </c>
      <c r="C24" s="172">
        <f t="shared" si="0"/>
        <v>7</v>
      </c>
      <c r="D24" s="173" t="s">
        <v>26</v>
      </c>
      <c r="E24" s="174" t="s">
        <v>67</v>
      </c>
      <c r="F24" s="175">
        <v>4.1666666666666664E-2</v>
      </c>
      <c r="G24" s="155" t="s">
        <v>89</v>
      </c>
    </row>
    <row r="25" spans="2:8" ht="60" x14ac:dyDescent="0.25">
      <c r="B25" s="171">
        <v>44238</v>
      </c>
      <c r="C25" s="172">
        <f t="shared" si="0"/>
        <v>7</v>
      </c>
      <c r="D25" s="173" t="s">
        <v>51</v>
      </c>
      <c r="E25" s="174"/>
      <c r="F25" s="175">
        <v>1.3888888888888888E-2</v>
      </c>
      <c r="G25" s="155" t="s">
        <v>91</v>
      </c>
    </row>
    <row r="26" spans="2:8" ht="30" x14ac:dyDescent="0.25">
      <c r="B26" s="171">
        <v>44238</v>
      </c>
      <c r="C26" s="172">
        <f t="shared" si="0"/>
        <v>7</v>
      </c>
      <c r="D26" s="173" t="s">
        <v>54</v>
      </c>
      <c r="E26" s="174" t="s">
        <v>68</v>
      </c>
      <c r="F26" s="175">
        <v>3.4722222222222224E-2</v>
      </c>
      <c r="G26" s="155" t="s">
        <v>96</v>
      </c>
    </row>
    <row r="27" spans="2:8" ht="30" x14ac:dyDescent="0.25">
      <c r="B27" s="171">
        <v>44238</v>
      </c>
      <c r="C27" s="172">
        <f t="shared" si="0"/>
        <v>7</v>
      </c>
      <c r="D27" s="173" t="s">
        <v>51</v>
      </c>
      <c r="E27" s="174"/>
      <c r="F27" s="175">
        <v>1.3888888888888888E-2</v>
      </c>
      <c r="G27" s="155" t="s">
        <v>97</v>
      </c>
    </row>
    <row r="28" spans="2:8" ht="75" x14ac:dyDescent="0.25">
      <c r="B28" s="171">
        <v>44239</v>
      </c>
      <c r="C28" s="172">
        <f t="shared" si="0"/>
        <v>7</v>
      </c>
      <c r="D28" s="173" t="s">
        <v>73</v>
      </c>
      <c r="E28" s="174"/>
      <c r="F28" s="175">
        <v>1.0416666666666666E-2</v>
      </c>
      <c r="G28" s="155" t="s">
        <v>99</v>
      </c>
    </row>
    <row r="29" spans="2:8" ht="45" x14ac:dyDescent="0.25">
      <c r="B29" s="171">
        <v>44239</v>
      </c>
      <c r="C29" s="172">
        <f t="shared" si="0"/>
        <v>7</v>
      </c>
      <c r="D29" s="173" t="s">
        <v>54</v>
      </c>
      <c r="E29" s="174" t="s">
        <v>68</v>
      </c>
      <c r="F29" s="175">
        <v>2.0833333333333332E-2</v>
      </c>
      <c r="G29" s="155" t="s">
        <v>98</v>
      </c>
    </row>
    <row r="30" spans="2:8" ht="30" x14ac:dyDescent="0.25">
      <c r="B30" s="171">
        <v>44239</v>
      </c>
      <c r="C30" s="172">
        <f t="shared" si="0"/>
        <v>7</v>
      </c>
      <c r="D30" s="173" t="s">
        <v>53</v>
      </c>
      <c r="E30" s="174" t="s">
        <v>68</v>
      </c>
      <c r="F30" s="175">
        <v>1.0416666666666666E-2</v>
      </c>
      <c r="G30" s="155" t="s">
        <v>100</v>
      </c>
    </row>
    <row r="31" spans="2:8" ht="30" x14ac:dyDescent="0.25">
      <c r="B31" s="171">
        <v>44239</v>
      </c>
      <c r="C31" s="172">
        <f t="shared" si="0"/>
        <v>7</v>
      </c>
      <c r="D31" s="173" t="s">
        <v>54</v>
      </c>
      <c r="E31" s="174" t="s">
        <v>67</v>
      </c>
      <c r="F31" s="175">
        <v>6.9444444444444441E-3</v>
      </c>
      <c r="G31" s="155" t="s">
        <v>101</v>
      </c>
    </row>
    <row r="32" spans="2:8" x14ac:dyDescent="0.25">
      <c r="B32" s="171">
        <v>44239</v>
      </c>
      <c r="C32" s="172">
        <f t="shared" si="0"/>
        <v>7</v>
      </c>
      <c r="D32" s="173" t="s">
        <v>81</v>
      </c>
      <c r="E32" s="174" t="s">
        <v>67</v>
      </c>
      <c r="F32" s="175">
        <v>1.3888888888888888E-2</v>
      </c>
      <c r="G32" s="155" t="s">
        <v>102</v>
      </c>
    </row>
    <row r="33" spans="2:7" ht="90" x14ac:dyDescent="0.25">
      <c r="B33" s="171">
        <v>44239</v>
      </c>
      <c r="C33" s="172">
        <f t="shared" si="0"/>
        <v>7</v>
      </c>
      <c r="D33" s="173" t="s">
        <v>51</v>
      </c>
      <c r="E33" s="174"/>
      <c r="F33" s="175">
        <v>3.125E-2</v>
      </c>
      <c r="G33" s="155" t="s">
        <v>103</v>
      </c>
    </row>
    <row r="34" spans="2:7" x14ac:dyDescent="0.25">
      <c r="B34" s="171"/>
      <c r="C34" s="172">
        <f t="shared" si="0"/>
        <v>0</v>
      </c>
      <c r="D34" s="173"/>
      <c r="E34" s="174"/>
      <c r="F34" s="175"/>
      <c r="G34" s="155"/>
    </row>
    <row r="35" spans="2:7" x14ac:dyDescent="0.25">
      <c r="B35" s="171"/>
      <c r="C35" s="172">
        <f t="shared" si="0"/>
        <v>0</v>
      </c>
      <c r="D35" s="173"/>
      <c r="E35" s="174"/>
      <c r="F35" s="175"/>
      <c r="G35" s="155"/>
    </row>
    <row r="36" spans="2:7" x14ac:dyDescent="0.25">
      <c r="B36" s="171"/>
      <c r="C36" s="172">
        <f t="shared" si="0"/>
        <v>0</v>
      </c>
      <c r="D36" s="173"/>
      <c r="E36" s="174"/>
      <c r="F36" s="175"/>
      <c r="G36" s="155"/>
    </row>
    <row r="37" spans="2:7" x14ac:dyDescent="0.25">
      <c r="B37" s="171"/>
      <c r="C37" s="172">
        <f t="shared" si="0"/>
        <v>0</v>
      </c>
      <c r="D37" s="173"/>
      <c r="E37" s="174"/>
      <c r="F37" s="175"/>
      <c r="G37" s="155"/>
    </row>
    <row r="38" spans="2:7" x14ac:dyDescent="0.25">
      <c r="B38" s="171"/>
      <c r="C38" s="172">
        <f t="shared" si="0"/>
        <v>0</v>
      </c>
      <c r="D38" s="173"/>
      <c r="E38" s="174"/>
      <c r="F38" s="175"/>
      <c r="G38" s="155"/>
    </row>
    <row r="39" spans="2:7" x14ac:dyDescent="0.25">
      <c r="B39" s="171"/>
      <c r="C39" s="172">
        <f t="shared" si="0"/>
        <v>0</v>
      </c>
      <c r="D39" s="173"/>
      <c r="E39" s="174"/>
      <c r="F39" s="175"/>
      <c r="G39" s="155"/>
    </row>
    <row r="40" spans="2:7" x14ac:dyDescent="0.25">
      <c r="B40" s="171"/>
      <c r="C40" s="172">
        <f t="shared" si="0"/>
        <v>0</v>
      </c>
      <c r="D40" s="173"/>
      <c r="E40" s="174"/>
      <c r="F40" s="175"/>
      <c r="G40" s="155"/>
    </row>
    <row r="41" spans="2:7" x14ac:dyDescent="0.25">
      <c r="B41" s="171"/>
      <c r="C41" s="172">
        <f t="shared" si="0"/>
        <v>0</v>
      </c>
      <c r="D41" s="173"/>
      <c r="E41" s="174"/>
      <c r="F41" s="175"/>
      <c r="G41" s="155"/>
    </row>
    <row r="42" spans="2:7" x14ac:dyDescent="0.25">
      <c r="B42" s="171"/>
      <c r="C42" s="172">
        <f t="shared" si="0"/>
        <v>0</v>
      </c>
      <c r="D42" s="173"/>
      <c r="E42" s="174"/>
      <c r="F42" s="175"/>
      <c r="G42" s="155"/>
    </row>
    <row r="43" spans="2:7" x14ac:dyDescent="0.25">
      <c r="B43" s="171"/>
      <c r="C43" s="172">
        <f t="shared" si="0"/>
        <v>0</v>
      </c>
      <c r="D43" s="173"/>
      <c r="E43" s="174"/>
      <c r="F43" s="175"/>
      <c r="G43" s="155"/>
    </row>
    <row r="44" spans="2:7" x14ac:dyDescent="0.25">
      <c r="B44" s="171"/>
      <c r="C44" s="172">
        <f t="shared" si="0"/>
        <v>0</v>
      </c>
      <c r="D44" s="173"/>
      <c r="E44" s="174"/>
      <c r="F44" s="175"/>
      <c r="G44" s="155"/>
    </row>
    <row r="45" spans="2:7" x14ac:dyDescent="0.25">
      <c r="B45" s="171"/>
      <c r="C45" s="172">
        <f t="shared" si="0"/>
        <v>0</v>
      </c>
      <c r="D45" s="173"/>
      <c r="E45" s="174"/>
      <c r="F45" s="175"/>
      <c r="G45" s="155"/>
    </row>
    <row r="46" spans="2:7" x14ac:dyDescent="0.25">
      <c r="B46" s="171"/>
      <c r="C46" s="172">
        <f t="shared" si="0"/>
        <v>0</v>
      </c>
      <c r="D46" s="173"/>
      <c r="E46" s="174"/>
      <c r="F46" s="175"/>
      <c r="G46" s="155"/>
    </row>
    <row r="47" spans="2:7" x14ac:dyDescent="0.25">
      <c r="B47" s="171"/>
      <c r="C47" s="172">
        <f t="shared" si="0"/>
        <v>0</v>
      </c>
      <c r="D47" s="173"/>
      <c r="E47" s="174"/>
      <c r="F47" s="175"/>
      <c r="G47" s="155"/>
    </row>
    <row r="48" spans="2:7" x14ac:dyDescent="0.25">
      <c r="B48" s="171"/>
      <c r="C48" s="172">
        <f t="shared" si="0"/>
        <v>0</v>
      </c>
      <c r="D48" s="173"/>
      <c r="E48" s="174"/>
      <c r="F48" s="175"/>
      <c r="G48" s="155"/>
    </row>
    <row r="49" spans="2:7" ht="15.75" thickBot="1" x14ac:dyDescent="0.3">
      <c r="B49" s="177"/>
      <c r="C49" s="178">
        <f t="shared" si="0"/>
        <v>0</v>
      </c>
      <c r="D49" s="179"/>
      <c r="E49" s="180"/>
      <c r="F49" s="181"/>
      <c r="G49" s="191"/>
    </row>
    <row r="50" spans="2:7" x14ac:dyDescent="0.25">
      <c r="F50" s="182"/>
    </row>
    <row r="52" spans="2:7" ht="15.75" thickBot="1" x14ac:dyDescent="0.3">
      <c r="B52" s="161" t="s">
        <v>86</v>
      </c>
      <c r="F52" s="182"/>
    </row>
    <row r="53" spans="2:7" x14ac:dyDescent="0.25">
      <c r="B53" s="183" t="s">
        <v>84</v>
      </c>
      <c r="C53" s="184">
        <v>7</v>
      </c>
    </row>
    <row r="54" spans="2:7" ht="15.75" thickBot="1" x14ac:dyDescent="0.3">
      <c r="B54" s="185" t="s">
        <v>85</v>
      </c>
      <c r="C54" s="186">
        <f>SUMIF(C4:C49,C53,F4:F49)</f>
        <v>0.33333333333333331</v>
      </c>
    </row>
  </sheetData>
  <conditionalFormatting sqref="E1:E1048576">
    <cfRule type="containsText" dxfId="1" priority="1" operator="containsText" text="En cours">
      <formula>NOT(ISERROR(SEARCH("En cours",E1)))</formula>
    </cfRule>
    <cfRule type="containsText" dxfId="0" priority="2" operator="containsText" text="Terminé">
      <formula>NOT(ISERROR(SEARCH("Terminé",E1)))</formula>
    </cfRule>
  </conditionalFormatting>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Base!$G$3:$G$36</xm:f>
          </x14:formula1>
          <xm:sqref>D4:D49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Planning</vt:lpstr>
      <vt:lpstr>Planif initiale</vt:lpstr>
      <vt:lpstr>Planif finale</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2021-02-05T10:10:07Z</cp:lastPrinted>
  <dcterms:created xsi:type="dcterms:W3CDTF">2015-01-22T08:10:30Z</dcterms:created>
  <dcterms:modified xsi:type="dcterms:W3CDTF">2021-02-12T13:39:34Z</dcterms:modified>
</cp:coreProperties>
</file>