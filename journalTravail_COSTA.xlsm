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Planning!$A$1:$U$99</definedName>
  </definedNames>
  <calcPr calcId="162913"/>
</workbook>
</file>

<file path=xl/calcChain.xml><?xml version="1.0" encoding="utf-8"?>
<calcChain xmlns="http://schemas.openxmlformats.org/spreadsheetml/2006/main">
  <c r="E90" i="1" l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D90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D88" i="1"/>
  <c r="D84" i="1"/>
  <c r="U51" i="1"/>
  <c r="B55" i="1"/>
  <c r="B53" i="1"/>
  <c r="C54" i="1"/>
  <c r="U53" i="1"/>
  <c r="C53" i="1"/>
  <c r="B51" i="1"/>
  <c r="C52" i="1"/>
  <c r="C51" i="1"/>
  <c r="B49" i="1"/>
  <c r="C50" i="1"/>
  <c r="U49" i="1"/>
  <c r="C49" i="1"/>
  <c r="B3" i="1" l="1"/>
  <c r="C12" i="1"/>
  <c r="E8" i="1"/>
  <c r="G8" i="1"/>
  <c r="I8" i="1"/>
  <c r="K8" i="1"/>
  <c r="M8" i="1"/>
  <c r="O8" i="1"/>
  <c r="Q8" i="1"/>
  <c r="S8" i="1"/>
  <c r="C1" i="6"/>
  <c r="U13" i="1"/>
  <c r="U15" i="1"/>
  <c r="U17" i="1"/>
  <c r="U19" i="1"/>
  <c r="U21" i="1"/>
  <c r="U39" i="1"/>
  <c r="U41" i="1"/>
  <c r="U43" i="1"/>
  <c r="U45" i="1"/>
  <c r="U47" i="1"/>
  <c r="U55" i="1"/>
  <c r="U59" i="1"/>
  <c r="U61" i="1"/>
  <c r="U63" i="1"/>
  <c r="U65" i="1"/>
  <c r="U67" i="1"/>
  <c r="U69" i="1"/>
  <c r="U73" i="1"/>
  <c r="U75" i="1"/>
  <c r="U77" i="1"/>
  <c r="U79" i="1"/>
  <c r="U81" i="1"/>
  <c r="U83" i="1"/>
  <c r="U87" i="1"/>
  <c r="U89" i="1"/>
  <c r="U91" i="1"/>
  <c r="U93" i="1"/>
  <c r="U95" i="1"/>
  <c r="U97" i="1"/>
  <c r="B59" i="1"/>
  <c r="B61" i="1"/>
  <c r="B63" i="1"/>
  <c r="B65" i="1"/>
  <c r="B67" i="1"/>
  <c r="B69" i="1"/>
  <c r="B47" i="1"/>
  <c r="B45" i="1"/>
  <c r="B43" i="1"/>
  <c r="B41" i="1"/>
  <c r="B39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A23" i="1"/>
  <c r="B13" i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U23" i="1" l="1"/>
  <c r="U24" i="1"/>
  <c r="B15" i="1"/>
  <c r="B5" i="6" l="1"/>
  <c r="E48" i="1" l="1"/>
  <c r="K48" i="1"/>
  <c r="Q48" i="1"/>
  <c r="G50" i="1"/>
  <c r="M50" i="1"/>
  <c r="S50" i="1"/>
  <c r="I52" i="1"/>
  <c r="O52" i="1"/>
  <c r="E54" i="1"/>
  <c r="K54" i="1"/>
  <c r="Q54" i="1"/>
  <c r="G56" i="1"/>
  <c r="M56" i="1"/>
  <c r="S56" i="1"/>
  <c r="F50" i="1"/>
  <c r="J54" i="1"/>
  <c r="F48" i="1"/>
  <c r="L48" i="1"/>
  <c r="R48" i="1"/>
  <c r="H50" i="1"/>
  <c r="N50" i="1"/>
  <c r="T50" i="1"/>
  <c r="J52" i="1"/>
  <c r="P52" i="1"/>
  <c r="F54" i="1"/>
  <c r="L54" i="1"/>
  <c r="R54" i="1"/>
  <c r="H56" i="1"/>
  <c r="N56" i="1"/>
  <c r="T56" i="1"/>
  <c r="L50" i="1"/>
  <c r="T52" i="1"/>
  <c r="R56" i="1"/>
  <c r="G48" i="1"/>
  <c r="M48" i="1"/>
  <c r="S48" i="1"/>
  <c r="I50" i="1"/>
  <c r="O50" i="1"/>
  <c r="E52" i="1"/>
  <c r="K52" i="1"/>
  <c r="Q52" i="1"/>
  <c r="G54" i="1"/>
  <c r="M54" i="1"/>
  <c r="S54" i="1"/>
  <c r="I56" i="1"/>
  <c r="O56" i="1"/>
  <c r="P48" i="1"/>
  <c r="N52" i="1"/>
  <c r="F56" i="1"/>
  <c r="H48" i="1"/>
  <c r="N48" i="1"/>
  <c r="T48" i="1"/>
  <c r="J50" i="1"/>
  <c r="P50" i="1"/>
  <c r="F52" i="1"/>
  <c r="L52" i="1"/>
  <c r="R52" i="1"/>
  <c r="H54" i="1"/>
  <c r="N54" i="1"/>
  <c r="T54" i="1"/>
  <c r="J56" i="1"/>
  <c r="P56" i="1"/>
  <c r="J48" i="1"/>
  <c r="R50" i="1"/>
  <c r="P54" i="1"/>
  <c r="I48" i="1"/>
  <c r="O48" i="1"/>
  <c r="E50" i="1"/>
  <c r="K50" i="1"/>
  <c r="Q50" i="1"/>
  <c r="G52" i="1"/>
  <c r="M52" i="1"/>
  <c r="S52" i="1"/>
  <c r="I54" i="1"/>
  <c r="O54" i="1"/>
  <c r="E56" i="1"/>
  <c r="K56" i="1"/>
  <c r="Q56" i="1"/>
  <c r="H52" i="1"/>
  <c r="L56" i="1"/>
  <c r="D54" i="1"/>
  <c r="E1" i="6"/>
  <c r="U54" i="1" l="1"/>
  <c r="B97" i="1"/>
  <c r="B95" i="1"/>
  <c r="B93" i="1"/>
  <c r="B91" i="1"/>
  <c r="B89" i="1"/>
  <c r="B87" i="1"/>
  <c r="B83" i="1"/>
  <c r="B81" i="1"/>
  <c r="B79" i="1"/>
  <c r="B77" i="1"/>
  <c r="B75" i="1"/>
  <c r="B73" i="1"/>
  <c r="B21" i="1"/>
  <c r="B19" i="1"/>
  <c r="B17" i="1"/>
  <c r="B11" i="1"/>
  <c r="A85" i="1"/>
  <c r="A71" i="1"/>
  <c r="A57" i="1"/>
  <c r="A37" i="1"/>
  <c r="A9" i="1"/>
  <c r="D4" i="1"/>
  <c r="C93" i="1"/>
  <c r="C79" i="1"/>
  <c r="C67" i="1" l="1"/>
  <c r="C19" i="1"/>
  <c r="C21" i="1"/>
  <c r="C55" i="1"/>
  <c r="C97" i="1"/>
  <c r="C95" i="1"/>
  <c r="C91" i="1"/>
  <c r="C89" i="1"/>
  <c r="C87" i="1"/>
  <c r="B9" i="6" l="1"/>
  <c r="B8" i="6"/>
  <c r="B6" i="6"/>
  <c r="B4" i="6"/>
  <c r="D8" i="1"/>
  <c r="F4" i="1"/>
  <c r="F8" i="1" s="1"/>
  <c r="D52" i="1" l="1"/>
  <c r="U52" i="1" s="1"/>
  <c r="D50" i="1"/>
  <c r="O26" i="1"/>
  <c r="I32" i="1"/>
  <c r="Q34" i="1"/>
  <c r="S36" i="1"/>
  <c r="S30" i="1"/>
  <c r="E26" i="1"/>
  <c r="Q26" i="1"/>
  <c r="O32" i="1"/>
  <c r="E36" i="1"/>
  <c r="G26" i="1"/>
  <c r="S26" i="1"/>
  <c r="E34" i="1"/>
  <c r="G36" i="1"/>
  <c r="I26" i="1"/>
  <c r="G30" i="1"/>
  <c r="I34" i="1"/>
  <c r="K36" i="1"/>
  <c r="K26" i="1"/>
  <c r="M30" i="1"/>
  <c r="K34" i="1"/>
  <c r="M36" i="1"/>
  <c r="M26" i="1"/>
  <c r="O34" i="1"/>
  <c r="Q36" i="1"/>
  <c r="E28" i="1"/>
  <c r="E32" i="1"/>
  <c r="Q28" i="1"/>
  <c r="O28" i="1"/>
  <c r="I28" i="1"/>
  <c r="O36" i="1"/>
  <c r="O30" i="1"/>
  <c r="K28" i="1"/>
  <c r="E30" i="1"/>
  <c r="S34" i="1"/>
  <c r="I30" i="1"/>
  <c r="S32" i="1"/>
  <c r="G32" i="1"/>
  <c r="M34" i="1"/>
  <c r="S28" i="1"/>
  <c r="M32" i="1"/>
  <c r="G34" i="1"/>
  <c r="Q32" i="1"/>
  <c r="M28" i="1"/>
  <c r="Q30" i="1"/>
  <c r="I36" i="1"/>
  <c r="K32" i="1"/>
  <c r="G28" i="1"/>
  <c r="K30" i="1"/>
  <c r="F26" i="1"/>
  <c r="F32" i="1"/>
  <c r="F30" i="1"/>
  <c r="F36" i="1"/>
  <c r="F28" i="1"/>
  <c r="F34" i="1"/>
  <c r="D28" i="1"/>
  <c r="D30" i="1"/>
  <c r="D34" i="1"/>
  <c r="D32" i="1"/>
  <c r="D36" i="1"/>
  <c r="D26" i="1"/>
  <c r="C94" i="1"/>
  <c r="C68" i="1"/>
  <c r="C80" i="1"/>
  <c r="C56" i="1"/>
  <c r="C20" i="1"/>
  <c r="C22" i="1"/>
  <c r="C90" i="1"/>
  <c r="C98" i="1"/>
  <c r="C92" i="1"/>
  <c r="C88" i="1"/>
  <c r="C96" i="1"/>
  <c r="H4" i="1"/>
  <c r="H8" i="1" s="1"/>
  <c r="C84" i="1"/>
  <c r="C83" i="1"/>
  <c r="C82" i="1"/>
  <c r="C81" i="1"/>
  <c r="C78" i="1"/>
  <c r="C77" i="1"/>
  <c r="C76" i="1"/>
  <c r="C75" i="1"/>
  <c r="C74" i="1"/>
  <c r="C73" i="1"/>
  <c r="C70" i="1"/>
  <c r="C69" i="1"/>
  <c r="C66" i="1"/>
  <c r="C65" i="1"/>
  <c r="C64" i="1"/>
  <c r="C63" i="1"/>
  <c r="C62" i="1"/>
  <c r="C61" i="1"/>
  <c r="C60" i="1"/>
  <c r="C59" i="1"/>
  <c r="C48" i="1"/>
  <c r="C47" i="1"/>
  <c r="C46" i="1"/>
  <c r="C45" i="1"/>
  <c r="C44" i="1"/>
  <c r="C43" i="1"/>
  <c r="C42" i="1"/>
  <c r="C41" i="1"/>
  <c r="C40" i="1"/>
  <c r="C39" i="1"/>
  <c r="C18" i="1"/>
  <c r="C17" i="1"/>
  <c r="C16" i="1"/>
  <c r="C15" i="1"/>
  <c r="C14" i="1"/>
  <c r="C13" i="1"/>
  <c r="C11" i="1"/>
  <c r="D5" i="1" l="1"/>
  <c r="U71" i="1"/>
  <c r="U85" i="1"/>
  <c r="U37" i="1"/>
  <c r="U57" i="1"/>
  <c r="U9" i="1"/>
  <c r="N5" i="1"/>
  <c r="F5" i="1"/>
  <c r="P5" i="1"/>
  <c r="H5" i="1"/>
  <c r="R5" i="1"/>
  <c r="J5" i="1"/>
  <c r="T5" i="1"/>
  <c r="L5" i="1"/>
  <c r="J4" i="1"/>
  <c r="J8" i="1" s="1"/>
  <c r="B5" i="1" l="1"/>
  <c r="H28" i="1"/>
  <c r="H34" i="1"/>
  <c r="H26" i="1"/>
  <c r="H32" i="1"/>
  <c r="H30" i="1"/>
  <c r="H36" i="1"/>
  <c r="L4" i="1"/>
  <c r="L8" i="1" s="1"/>
  <c r="J30" i="1" l="1"/>
  <c r="J36" i="1"/>
  <c r="J28" i="1"/>
  <c r="J34" i="1"/>
  <c r="J26" i="1"/>
  <c r="J32" i="1"/>
  <c r="N4" i="1"/>
  <c r="N8" i="1" s="1"/>
  <c r="L26" i="1" l="1"/>
  <c r="L32" i="1"/>
  <c r="L30" i="1"/>
  <c r="L36" i="1"/>
  <c r="L28" i="1"/>
  <c r="L34" i="1"/>
  <c r="P4" i="1"/>
  <c r="P8" i="1" s="1"/>
  <c r="N28" i="1" l="1"/>
  <c r="N34" i="1"/>
  <c r="N26" i="1"/>
  <c r="N32" i="1"/>
  <c r="N30" i="1"/>
  <c r="N36" i="1"/>
  <c r="R4" i="1"/>
  <c r="R8" i="1" s="1"/>
  <c r="P30" i="1" l="1"/>
  <c r="P36" i="1"/>
  <c r="P28" i="1"/>
  <c r="P34" i="1"/>
  <c r="P26" i="1"/>
  <c r="P32" i="1"/>
  <c r="T4" i="1"/>
  <c r="T8" i="1" s="1"/>
  <c r="U50" i="1" s="1"/>
  <c r="R26" i="1" l="1"/>
  <c r="R32" i="1"/>
  <c r="R30" i="1"/>
  <c r="R36" i="1"/>
  <c r="R28" i="1"/>
  <c r="R34" i="1"/>
  <c r="T28" i="1" l="1"/>
  <c r="T34" i="1"/>
  <c r="T26" i="1"/>
  <c r="T32" i="1"/>
  <c r="T30" i="1"/>
  <c r="T36" i="1"/>
  <c r="B7" i="6"/>
  <c r="R14" i="1" l="1"/>
  <c r="D12" i="1"/>
  <c r="R78" i="1"/>
  <c r="D82" i="1"/>
  <c r="T84" i="1"/>
  <c r="F40" i="1"/>
  <c r="R12" i="1"/>
  <c r="L40" i="1"/>
  <c r="T12" i="1"/>
  <c r="J46" i="1"/>
  <c r="H70" i="1"/>
  <c r="L64" i="1"/>
  <c r="D74" i="1"/>
  <c r="R64" i="1"/>
  <c r="H66" i="1"/>
  <c r="D14" i="1"/>
  <c r="N46" i="1"/>
  <c r="L66" i="1"/>
  <c r="D64" i="1"/>
  <c r="F74" i="1"/>
  <c r="F16" i="1"/>
  <c r="F94" i="1"/>
  <c r="D68" i="1"/>
  <c r="F22" i="1"/>
  <c r="D56" i="1"/>
  <c r="D92" i="1"/>
  <c r="F98" i="1"/>
  <c r="F92" i="1"/>
  <c r="F96" i="1"/>
  <c r="F68" i="1"/>
  <c r="D80" i="1"/>
  <c r="F20" i="1"/>
  <c r="F80" i="1"/>
  <c r="D20" i="1"/>
  <c r="D96" i="1"/>
  <c r="D94" i="1"/>
  <c r="D22" i="1"/>
  <c r="D98" i="1"/>
  <c r="H94" i="1"/>
  <c r="H96" i="1"/>
  <c r="H92" i="1"/>
  <c r="H98" i="1"/>
  <c r="H80" i="1"/>
  <c r="H68" i="1"/>
  <c r="H22" i="1"/>
  <c r="H20" i="1"/>
  <c r="J20" i="1"/>
  <c r="J96" i="1"/>
  <c r="J80" i="1"/>
  <c r="J68" i="1"/>
  <c r="J98" i="1"/>
  <c r="J22" i="1"/>
  <c r="J94" i="1"/>
  <c r="J92" i="1"/>
  <c r="L96" i="1"/>
  <c r="L68" i="1"/>
  <c r="L22" i="1"/>
  <c r="L92" i="1"/>
  <c r="L20" i="1"/>
  <c r="L80" i="1"/>
  <c r="L98" i="1"/>
  <c r="L94" i="1"/>
  <c r="N20" i="1"/>
  <c r="N92" i="1"/>
  <c r="N94" i="1"/>
  <c r="N80" i="1"/>
  <c r="N96" i="1"/>
  <c r="N22" i="1"/>
  <c r="N98" i="1"/>
  <c r="N68" i="1"/>
  <c r="P80" i="1"/>
  <c r="P22" i="1"/>
  <c r="P92" i="1"/>
  <c r="P98" i="1"/>
  <c r="P20" i="1"/>
  <c r="P96" i="1"/>
  <c r="P94" i="1"/>
  <c r="P68" i="1"/>
  <c r="R68" i="1"/>
  <c r="R20" i="1"/>
  <c r="R98" i="1"/>
  <c r="R92" i="1"/>
  <c r="R94" i="1"/>
  <c r="R96" i="1"/>
  <c r="R80" i="1"/>
  <c r="R22" i="1"/>
  <c r="T80" i="1"/>
  <c r="T20" i="1"/>
  <c r="T96" i="1"/>
  <c r="T94" i="1"/>
  <c r="T92" i="1"/>
  <c r="T68" i="1"/>
  <c r="T98" i="1"/>
  <c r="T22" i="1"/>
  <c r="N66" i="1"/>
  <c r="N18" i="1"/>
  <c r="D76" i="1"/>
  <c r="N12" i="1"/>
  <c r="D62" i="1"/>
  <c r="N84" i="1"/>
  <c r="F84" i="1"/>
  <c r="J42" i="1"/>
  <c r="L78" i="1"/>
  <c r="J66" i="1"/>
  <c r="D44" i="1"/>
  <c r="D46" i="1"/>
  <c r="L46" i="1"/>
  <c r="J40" i="1"/>
  <c r="F64" i="1"/>
  <c r="H82" i="1"/>
  <c r="R42" i="1"/>
  <c r="J70" i="1"/>
  <c r="P82" i="1"/>
  <c r="T14" i="1"/>
  <c r="R40" i="1"/>
  <c r="F18" i="1"/>
  <c r="H42" i="1"/>
  <c r="R70" i="1"/>
  <c r="R66" i="1"/>
  <c r="L62" i="1"/>
  <c r="P64" i="1"/>
  <c r="J84" i="1"/>
  <c r="P42" i="1"/>
  <c r="T40" i="1"/>
  <c r="T76" i="1"/>
  <c r="J78" i="1"/>
  <c r="P44" i="1"/>
  <c r="H76" i="1"/>
  <c r="T46" i="1"/>
  <c r="T64" i="1"/>
  <c r="H74" i="1"/>
  <c r="N62" i="1"/>
  <c r="F60" i="1"/>
  <c r="F44" i="1"/>
  <c r="P78" i="1"/>
  <c r="L60" i="1"/>
  <c r="R16" i="1"/>
  <c r="T18" i="1"/>
  <c r="J64" i="1"/>
  <c r="T82" i="1"/>
  <c r="T74" i="1"/>
  <c r="N16" i="1"/>
  <c r="H14" i="1"/>
  <c r="L16" i="1"/>
  <c r="T78" i="1"/>
  <c r="P62" i="1"/>
  <c r="P16" i="1"/>
  <c r="N42" i="1"/>
  <c r="J62" i="1"/>
  <c r="F78" i="1"/>
  <c r="F62" i="1"/>
  <c r="T44" i="1"/>
  <c r="T66" i="1"/>
  <c r="L76" i="1"/>
  <c r="R60" i="1"/>
  <c r="R82" i="1"/>
  <c r="H40" i="1"/>
  <c r="P14" i="1"/>
  <c r="L82" i="1"/>
  <c r="H84" i="1"/>
  <c r="R44" i="1"/>
  <c r="H60" i="1"/>
  <c r="J44" i="1"/>
  <c r="N40" i="1"/>
  <c r="J74" i="1"/>
  <c r="J14" i="1"/>
  <c r="D78" i="1"/>
  <c r="D70" i="1"/>
  <c r="L12" i="1"/>
  <c r="P12" i="1"/>
  <c r="J82" i="1"/>
  <c r="F70" i="1"/>
  <c r="D66" i="1"/>
  <c r="P46" i="1"/>
  <c r="P60" i="1"/>
  <c r="P66" i="1"/>
  <c r="N74" i="1"/>
  <c r="P74" i="1"/>
  <c r="T16" i="1"/>
  <c r="H78" i="1"/>
  <c r="L74" i="1"/>
  <c r="L18" i="1"/>
  <c r="P76" i="1"/>
  <c r="H46" i="1"/>
  <c r="N60" i="1"/>
  <c r="P70" i="1"/>
  <c r="H62" i="1"/>
  <c r="P18" i="1"/>
  <c r="P84" i="1"/>
  <c r="T70" i="1"/>
  <c r="N82" i="1"/>
  <c r="H44" i="1"/>
  <c r="N64" i="1"/>
  <c r="F46" i="1"/>
  <c r="R18" i="1"/>
  <c r="F66" i="1"/>
  <c r="D40" i="1"/>
  <c r="D48" i="1"/>
  <c r="H12" i="1"/>
  <c r="D60" i="1"/>
  <c r="D18" i="1"/>
  <c r="D16" i="1"/>
  <c r="J12" i="1"/>
  <c r="D42" i="1"/>
  <c r="J76" i="1"/>
  <c r="J18" i="1"/>
  <c r="N70" i="1"/>
  <c r="H64" i="1"/>
  <c r="F42" i="1"/>
  <c r="R74" i="1"/>
  <c r="H16" i="1"/>
  <c r="N78" i="1"/>
  <c r="H18" i="1"/>
  <c r="L84" i="1"/>
  <c r="T42" i="1"/>
  <c r="R46" i="1"/>
  <c r="F76" i="1"/>
  <c r="R84" i="1"/>
  <c r="F14" i="1"/>
  <c r="R76" i="1"/>
  <c r="J60" i="1"/>
  <c r="T60" i="1"/>
  <c r="N76" i="1"/>
  <c r="F82" i="1"/>
  <c r="L70" i="1"/>
  <c r="J16" i="1"/>
  <c r="R62" i="1"/>
  <c r="N14" i="1"/>
  <c r="L14" i="1"/>
  <c r="P40" i="1"/>
  <c r="U40" i="1" l="1"/>
  <c r="U48" i="1"/>
  <c r="U18" i="1"/>
  <c r="U44" i="1"/>
  <c r="U68" i="1"/>
  <c r="U60" i="1"/>
  <c r="U62" i="1"/>
  <c r="U98" i="1"/>
  <c r="U14" i="1"/>
  <c r="U82" i="1"/>
  <c r="U84" i="1"/>
  <c r="U22" i="1"/>
  <c r="U80" i="1"/>
  <c r="U42" i="1"/>
  <c r="U94" i="1"/>
  <c r="U90" i="1"/>
  <c r="U92" i="1"/>
  <c r="U12" i="1"/>
  <c r="U70" i="1"/>
  <c r="U76" i="1"/>
  <c r="U96" i="1"/>
  <c r="U56" i="1"/>
  <c r="U64" i="1"/>
  <c r="U74" i="1"/>
  <c r="U88" i="1"/>
  <c r="U16" i="1"/>
  <c r="U66" i="1"/>
  <c r="U78" i="1"/>
  <c r="U46" i="1"/>
  <c r="U20" i="1"/>
  <c r="F6" i="1"/>
  <c r="T6" i="1"/>
  <c r="R6" i="1"/>
  <c r="P6" i="1"/>
  <c r="L6" i="1"/>
  <c r="J6" i="1"/>
  <c r="H6" i="1"/>
  <c r="N6" i="1"/>
  <c r="D6" i="1"/>
  <c r="B6" i="1" l="1"/>
  <c r="U72" i="1"/>
  <c r="U38" i="1"/>
  <c r="U58" i="1"/>
  <c r="U86" i="1"/>
  <c r="U10" i="1"/>
</calcChain>
</file>

<file path=xl/sharedStrings.xml><?xml version="1.0" encoding="utf-8"?>
<sst xmlns="http://schemas.openxmlformats.org/spreadsheetml/2006/main" count="65" uniqueCount="62">
  <si>
    <t>Total</t>
  </si>
  <si>
    <t>Date</t>
  </si>
  <si>
    <t>Heures</t>
  </si>
  <si>
    <t>Remarques</t>
  </si>
  <si>
    <t>Sem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</si>
  <si>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</si>
  <si>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</si>
  <si>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</si>
  <si>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</si>
  <si>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</si>
  <si>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</si>
  <si>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</si>
  <si>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</si>
  <si>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</si>
  <si>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</si>
  <si>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</si>
  <si>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</si>
  <si>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</si>
  <si>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25 -</t>
  </si>
  <si>
    <t>24 -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</si>
  <si>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</si>
  <si>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</si>
  <si>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</si>
  <si>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</si>
  <si>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</si>
  <si>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</si>
  <si>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</si>
  <si>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</si>
  <si>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</si>
  <si>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</si>
  <si>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</si>
  <si>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</si>
  <si>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54 Procédure d'installation</t>
  </si>
  <si>
    <t>55 Procédure de mise en service</t>
  </si>
  <si>
    <t>41 Tests unitaires</t>
  </si>
  <si>
    <t>42 Tests d'intégration</t>
  </si>
  <si>
    <t>23 Diagrammes de flux</t>
  </si>
  <si>
    <t>56 Commentaires du code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</si>
  <si>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</si>
  <si>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</si>
  <si>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</si>
  <si>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</si>
  <si>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</si>
  <si>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</si>
  <si>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</si>
  <si>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</si>
  <si>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</si>
  <si>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</si>
  <si>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</si>
  <si>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</si>
  <si>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</si>
  <si>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</si>
  <si>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39 Consultation : délai dépassé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</si>
  <si>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</si>
  <si>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</si>
  <si>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</si>
  <si>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</si>
  <si>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</si>
  <si>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</si>
  <si>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53 -</t>
  </si>
  <si>
    <t>51 Rapport de pré-TPI</t>
  </si>
  <si>
    <t>16 Planification définitive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</si>
</sst>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24" xfId="0" applyNumberFormat="1" applyBorder="1" applyAlignment="1">
      <alignment horizontal="center" vertical="top"/>
    </xf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0" fontId="1" fillId="0" borderId="0" xfId="0" applyFont="1" applyAlignment="1">
      <alignment horizontal="center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top"/>
      <protection locked="0"/>
    </xf>
    <xf numFmtId="165" fontId="0" fillId="0" borderId="24" xfId="0" applyNumberFormat="1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left" wrapText="1"/>
      <protection locked="0"/>
    </xf>
    <xf numFmtId="14" fontId="0" fillId="0" borderId="24" xfId="0" applyNumberFormat="1" applyBorder="1" applyAlignment="1" applyProtection="1">
      <alignment horizontal="center" vertical="top"/>
      <protection locked="0"/>
    </xf>
    <xf numFmtId="0" fontId="1" fillId="0" borderId="0" xfId="0" applyFont="1" applyAlignment="1">
      <alignment horizontal="left"/>
    </xf>
    <xf numFmtId="164" fontId="6" fillId="2" borderId="1" xfId="0" applyNumberFormat="1" applyFont="1" applyFill="1" applyBorder="1" applyAlignment="1" applyProtection="1">
      <alignment vertical="center" wrapText="1"/>
    </xf>
    <xf numFmtId="14" fontId="0" fillId="0" borderId="0" xfId="0" applyNumberFormat="1" applyAlignment="1">
      <alignment horizontal="left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5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14" fontId="0" fillId="0" borderId="20" xfId="0" applyNumberFormat="1" applyBorder="1" applyAlignment="1" applyProtection="1">
      <alignment horizontal="center" vertical="top"/>
      <protection locked="0"/>
    </xf>
    <xf numFmtId="0" fontId="0" fillId="0" borderId="20" xfId="0" applyNumberFormat="1" applyBorder="1" applyAlignment="1">
      <alignment horizontal="center" vertical="top"/>
    </xf>
    <xf numFmtId="0" fontId="0" fillId="0" borderId="20" xfId="0" applyBorder="1" applyAlignment="1" applyProtection="1">
      <alignment horizontal="center"/>
      <protection locked="0"/>
    </xf>
    <xf numFmtId="165" fontId="0" fillId="0" borderId="20" xfId="0" applyNumberFormat="1" applyBorder="1" applyAlignment="1" applyProtection="1">
      <alignment horizontal="center" vertical="top"/>
      <protection locked="0"/>
    </xf>
    <xf numFmtId="0" fontId="0" fillId="0" borderId="20" xfId="0" applyBorder="1" applyAlignment="1" applyProtection="1">
      <alignment horizontal="left" wrapText="1"/>
      <protection locked="0"/>
    </xf>
    <xf numFmtId="0" fontId="1" fillId="0" borderId="7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left"/>
    </xf>
    <xf numFmtId="0" fontId="12" fillId="3" borderId="0" xfId="0" applyFont="1" applyFill="1" applyProtection="1"/>
    <xf numFmtId="0" fontId="13" fillId="3" borderId="0" xfId="0" applyFont="1" applyFill="1" applyProtection="1"/>
    <xf numFmtId="0" fontId="13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4" borderId="33" xfId="0" applyNumberFormat="1" applyFont="1" applyFill="1" applyBorder="1" applyAlignment="1" applyProtection="1">
      <alignment horizontal="left" vertical="top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</cellXfs>
  <cellStyles count="1">
    <cellStyle name="Normal" xfId="0" builtinId="0"/>
  </cellStyles>
  <dxfs count="123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2"/>
  <sheetViews>
    <sheetView topLeftCell="B1" workbookViewId="0">
      <selection activeCell="I18" sqref="I18"/>
    </sheetView>
  </sheetViews>
  <sheetFormatPr baseColWidth="10" defaultRowHeight="15" x14ac:dyDescent="0.25"/>
  <cols>
    <col min="1" max="1" width="22.42578125" style="61" customWidth="1"/>
    <col min="2" max="2" width="14.140625" style="61" customWidth="1"/>
    <col min="3" max="3" width="16.5703125" style="61" customWidth="1"/>
    <col min="4" max="4" width="17.28515625" style="61" customWidth="1"/>
    <col min="5" max="5" width="3.85546875" style="61" customWidth="1"/>
    <col min="6" max="6" width="21.7109375" style="61" bestFit="1" customWidth="1"/>
    <col min="7" max="7" width="30.7109375" style="61" customWidth="1"/>
    <col min="8" max="16384" width="11.42578125" style="61"/>
  </cols>
  <sheetData>
    <row r="2" spans="1:8" s="81" customFormat="1" ht="18.75" x14ac:dyDescent="0.3">
      <c r="A2" s="79" t="s">
        <v>10</v>
      </c>
      <c r="B2" s="79" t="s">
        <v>13</v>
      </c>
      <c r="C2" s="79" t="s">
        <v>6</v>
      </c>
      <c r="D2" s="79" t="s">
        <v>9</v>
      </c>
      <c r="E2" s="79"/>
      <c r="F2" s="79" t="s">
        <v>11</v>
      </c>
      <c r="G2" s="79" t="s">
        <v>8</v>
      </c>
      <c r="H2" s="80"/>
    </row>
    <row r="3" spans="1:8" x14ac:dyDescent="0.25">
      <c r="A3" s="54" t="s">
        <v>40</v>
      </c>
      <c r="B3" s="57">
        <v>44228</v>
      </c>
      <c r="C3" s="58" t="s">
        <v>20</v>
      </c>
      <c r="D3" s="59" t="s">
        <v>21</v>
      </c>
      <c r="E3" s="60"/>
      <c r="F3" s="54" t="s">
        <v>22</v>
      </c>
      <c r="G3" s="69" t="s">
        <v>57</v>
      </c>
      <c r="H3" s="60"/>
    </row>
    <row r="4" spans="1:8" x14ac:dyDescent="0.25">
      <c r="A4" s="56" t="s">
        <v>41</v>
      </c>
      <c r="B4" s="60"/>
      <c r="C4" s="60"/>
      <c r="D4" s="60"/>
      <c r="E4" s="60"/>
      <c r="F4" s="52"/>
      <c r="G4" s="70" t="s">
        <v>56</v>
      </c>
      <c r="H4" s="60"/>
    </row>
    <row r="5" spans="1:8" x14ac:dyDescent="0.25">
      <c r="A5" s="60"/>
      <c r="B5" s="60"/>
      <c r="C5" s="60"/>
      <c r="D5" s="60"/>
      <c r="E5" s="60"/>
      <c r="F5" s="52"/>
      <c r="G5" s="70" t="s">
        <v>53</v>
      </c>
      <c r="H5" s="60"/>
    </row>
    <row r="6" spans="1:8" x14ac:dyDescent="0.25">
      <c r="A6" s="60"/>
      <c r="B6" s="60"/>
      <c r="C6" s="60"/>
      <c r="D6" s="60"/>
      <c r="E6" s="60"/>
      <c r="F6" s="52"/>
      <c r="G6" s="70" t="s">
        <v>54</v>
      </c>
      <c r="H6" s="60"/>
    </row>
    <row r="7" spans="1:8" x14ac:dyDescent="0.25">
      <c r="A7" s="60"/>
      <c r="B7" s="60"/>
      <c r="C7" s="60"/>
      <c r="D7" s="60"/>
      <c r="E7" s="60"/>
      <c r="F7" s="52"/>
      <c r="G7" s="55" t="s">
        <v>55</v>
      </c>
      <c r="H7" s="60"/>
    </row>
    <row r="8" spans="1:8" x14ac:dyDescent="0.25">
      <c r="A8" s="60"/>
      <c r="B8" s="60"/>
      <c r="C8" s="60"/>
      <c r="D8" s="60"/>
      <c r="E8" s="60"/>
      <c r="F8" s="53"/>
      <c r="G8" s="56" t="s">
        <v>61</v>
      </c>
      <c r="H8" s="60"/>
    </row>
    <row r="9" spans="1:8" x14ac:dyDescent="0.25">
      <c r="A9" s="60"/>
      <c r="B9" s="60"/>
      <c r="C9" s="60"/>
      <c r="D9" s="60"/>
      <c r="E9" s="60"/>
      <c r="F9" s="54" t="s">
        <v>28</v>
      </c>
      <c r="G9" s="54" t="s">
        <v>29</v>
      </c>
      <c r="H9" s="60"/>
    </row>
    <row r="10" spans="1:8" x14ac:dyDescent="0.25">
      <c r="A10" s="60"/>
      <c r="B10" s="60"/>
      <c r="C10" s="60"/>
      <c r="D10" s="60"/>
      <c r="E10" s="60"/>
      <c r="F10" s="52"/>
      <c r="G10" s="55" t="s">
        <v>30</v>
      </c>
      <c r="H10" s="60"/>
    </row>
    <row r="11" spans="1:8" x14ac:dyDescent="0.25">
      <c r="A11" s="60"/>
      <c r="B11" s="60"/>
      <c r="C11" s="60"/>
      <c r="D11" s="60"/>
      <c r="E11" s="60"/>
      <c r="F11" s="52"/>
      <c r="G11" s="55" t="s">
        <v>36</v>
      </c>
      <c r="H11" s="60"/>
    </row>
    <row r="12" spans="1:8" x14ac:dyDescent="0.25">
      <c r="A12" s="60"/>
      <c r="B12" s="60"/>
      <c r="C12" s="60"/>
      <c r="D12" s="60"/>
      <c r="E12" s="60"/>
      <c r="F12" s="52"/>
      <c r="G12" s="55" t="s">
        <v>19</v>
      </c>
      <c r="H12" s="60"/>
    </row>
    <row r="13" spans="1:8" x14ac:dyDescent="0.25">
      <c r="A13" s="60"/>
      <c r="B13" s="60"/>
      <c r="C13" s="60"/>
      <c r="D13" s="60"/>
      <c r="E13" s="60"/>
      <c r="F13" s="52"/>
      <c r="G13" s="55" t="s">
        <v>18</v>
      </c>
      <c r="H13" s="60"/>
    </row>
    <row r="14" spans="1:8" x14ac:dyDescent="0.25">
      <c r="A14" s="60"/>
      <c r="B14" s="60"/>
      <c r="C14" s="60"/>
      <c r="D14" s="60"/>
      <c r="E14" s="60"/>
      <c r="F14" s="52"/>
      <c r="G14" s="55" t="s">
        <v>14</v>
      </c>
      <c r="H14" s="60"/>
    </row>
    <row r="15" spans="1:8" x14ac:dyDescent="0.25">
      <c r="A15" s="60"/>
      <c r="B15" s="60"/>
      <c r="C15" s="60"/>
      <c r="D15" s="60"/>
      <c r="E15" s="60"/>
      <c r="F15" s="54" t="s">
        <v>23</v>
      </c>
      <c r="G15" s="69" t="s">
        <v>46</v>
      </c>
      <c r="H15" s="60"/>
    </row>
    <row r="16" spans="1:8" x14ac:dyDescent="0.25">
      <c r="A16" s="60"/>
      <c r="B16" s="60"/>
      <c r="C16" s="60"/>
      <c r="D16" s="60"/>
      <c r="E16" s="60"/>
      <c r="F16" s="52"/>
      <c r="G16" s="70" t="s">
        <v>42</v>
      </c>
      <c r="H16" s="60"/>
    </row>
    <row r="17" spans="1:8" x14ac:dyDescent="0.25">
      <c r="A17" s="60"/>
      <c r="B17" s="60"/>
      <c r="C17" s="60"/>
      <c r="D17" s="60"/>
      <c r="E17" s="60"/>
      <c r="F17" s="52"/>
      <c r="G17" s="70" t="s">
        <v>45</v>
      </c>
      <c r="H17" s="60"/>
    </row>
    <row r="18" spans="1:8" x14ac:dyDescent="0.25">
      <c r="A18" s="60"/>
      <c r="B18" s="60"/>
      <c r="C18" s="60"/>
      <c r="D18" s="60"/>
      <c r="E18" s="60"/>
      <c r="F18" s="52"/>
      <c r="G18" s="70" t="s">
        <v>47</v>
      </c>
      <c r="H18" s="60"/>
    </row>
    <row r="19" spans="1:8" x14ac:dyDescent="0.25">
      <c r="A19" s="60"/>
      <c r="B19" s="60"/>
      <c r="C19" s="60"/>
      <c r="D19" s="60"/>
      <c r="E19" s="60"/>
      <c r="F19" s="52"/>
      <c r="G19" s="70" t="s">
        <v>48</v>
      </c>
      <c r="H19" s="60"/>
    </row>
    <row r="20" spans="1:8" x14ac:dyDescent="0.25">
      <c r="A20" s="60"/>
      <c r="B20" s="60"/>
      <c r="C20" s="60"/>
      <c r="D20" s="60"/>
      <c r="E20" s="60"/>
      <c r="F20" s="52"/>
      <c r="G20" s="70" t="s">
        <v>49</v>
      </c>
      <c r="H20" s="60"/>
    </row>
    <row r="21" spans="1:8" x14ac:dyDescent="0.25">
      <c r="A21" s="60"/>
      <c r="B21" s="60"/>
      <c r="C21" s="60"/>
      <c r="D21" s="60"/>
      <c r="E21" s="60"/>
      <c r="F21" s="52"/>
      <c r="G21" s="70" t="s">
        <v>50</v>
      </c>
      <c r="H21" s="60"/>
    </row>
    <row r="22" spans="1:8" x14ac:dyDescent="0.25">
      <c r="A22" s="60"/>
      <c r="B22" s="60"/>
      <c r="C22" s="60"/>
      <c r="D22" s="60"/>
      <c r="E22" s="60"/>
      <c r="F22" s="52"/>
      <c r="G22" s="70" t="s">
        <v>51</v>
      </c>
      <c r="H22" s="60"/>
    </row>
    <row r="23" spans="1:8" x14ac:dyDescent="0.25">
      <c r="A23" s="60"/>
      <c r="B23" s="60"/>
      <c r="C23" s="60"/>
      <c r="D23" s="60"/>
      <c r="E23" s="60"/>
      <c r="F23" s="53"/>
      <c r="G23" s="70" t="s">
        <v>52</v>
      </c>
      <c r="H23" s="60"/>
    </row>
    <row r="24" spans="1:8" x14ac:dyDescent="0.25">
      <c r="A24" s="60"/>
      <c r="B24" s="60"/>
      <c r="C24" s="60"/>
      <c r="D24" s="60"/>
      <c r="E24" s="60"/>
      <c r="F24" s="54" t="s">
        <v>26</v>
      </c>
      <c r="G24" s="54" t="s">
        <v>34</v>
      </c>
      <c r="H24" s="60"/>
    </row>
    <row r="25" spans="1:8" x14ac:dyDescent="0.25">
      <c r="A25" s="60"/>
      <c r="B25" s="60"/>
      <c r="C25" s="60"/>
      <c r="D25" s="60"/>
      <c r="E25" s="60"/>
      <c r="F25" s="52"/>
      <c r="G25" s="55" t="s">
        <v>35</v>
      </c>
      <c r="H25" s="60"/>
    </row>
    <row r="26" spans="1:8" x14ac:dyDescent="0.25">
      <c r="A26" s="60"/>
      <c r="B26" s="60"/>
      <c r="C26" s="60"/>
      <c r="D26" s="60"/>
      <c r="E26" s="60"/>
      <c r="F26" s="52"/>
      <c r="G26" s="55" t="s">
        <v>43</v>
      </c>
      <c r="H26" s="60"/>
    </row>
    <row r="27" spans="1:8" x14ac:dyDescent="0.25">
      <c r="A27" s="60"/>
      <c r="B27" s="60"/>
      <c r="C27" s="60"/>
      <c r="D27" s="60"/>
      <c r="E27" s="60"/>
      <c r="F27" s="52"/>
      <c r="G27" s="55" t="s">
        <v>15</v>
      </c>
      <c r="H27" s="60"/>
    </row>
    <row r="28" spans="1:8" x14ac:dyDescent="0.25">
      <c r="A28" s="60"/>
      <c r="B28" s="60"/>
      <c r="C28" s="60"/>
      <c r="D28" s="60"/>
      <c r="E28" s="60"/>
      <c r="F28" s="52"/>
      <c r="G28" s="55" t="s">
        <v>16</v>
      </c>
      <c r="H28" s="60"/>
    </row>
    <row r="29" spans="1:8" x14ac:dyDescent="0.25">
      <c r="A29" s="60"/>
      <c r="B29" s="60"/>
      <c r="C29" s="60"/>
      <c r="D29" s="60"/>
      <c r="E29" s="60"/>
      <c r="F29" s="53"/>
      <c r="G29" s="55" t="s">
        <v>17</v>
      </c>
      <c r="H29" s="60"/>
    </row>
    <row r="30" spans="1:8" x14ac:dyDescent="0.25">
      <c r="A30" s="60"/>
      <c r="B30" s="60"/>
      <c r="C30" s="60"/>
      <c r="D30" s="60"/>
      <c r="E30" s="60"/>
      <c r="F30" s="54" t="s">
        <v>24</v>
      </c>
      <c r="G30" s="54" t="s">
        <v>60</v>
      </c>
      <c r="H30" s="60"/>
    </row>
    <row r="31" spans="1:8" x14ac:dyDescent="0.25">
      <c r="A31" s="60"/>
      <c r="B31" s="60"/>
      <c r="C31" s="60"/>
      <c r="D31" s="60"/>
      <c r="E31" s="60"/>
      <c r="F31" s="52"/>
      <c r="G31" s="55" t="s">
        <v>31</v>
      </c>
      <c r="H31" s="60"/>
    </row>
    <row r="32" spans="1:8" x14ac:dyDescent="0.25">
      <c r="A32" s="60"/>
      <c r="B32" s="60"/>
      <c r="C32" s="60"/>
      <c r="D32" s="60"/>
      <c r="E32" s="60"/>
      <c r="F32" s="52"/>
      <c r="G32" s="55" t="s">
        <v>59</v>
      </c>
      <c r="H32" s="60"/>
    </row>
    <row r="33" spans="1:8" x14ac:dyDescent="0.25">
      <c r="A33" s="60"/>
      <c r="B33" s="60"/>
      <c r="C33" s="60"/>
      <c r="D33" s="60"/>
      <c r="E33" s="60"/>
      <c r="F33" s="52"/>
      <c r="G33" s="55" t="s">
        <v>32</v>
      </c>
      <c r="H33" s="60"/>
    </row>
    <row r="34" spans="1:8" x14ac:dyDescent="0.25">
      <c r="A34" s="60"/>
      <c r="B34" s="60"/>
      <c r="C34" s="60"/>
      <c r="D34" s="60"/>
      <c r="E34" s="60"/>
      <c r="F34" s="52"/>
      <c r="G34" s="55" t="s">
        <v>33</v>
      </c>
      <c r="H34" s="60"/>
    </row>
    <row r="35" spans="1:8" x14ac:dyDescent="0.25">
      <c r="A35" s="60"/>
      <c r="B35" s="60"/>
      <c r="C35" s="60"/>
      <c r="D35" s="60"/>
      <c r="E35" s="60"/>
      <c r="F35" s="53"/>
      <c r="G35" s="55" t="s">
        <v>37</v>
      </c>
      <c r="H35" s="60"/>
    </row>
    <row r="36" spans="1:8" x14ac:dyDescent="0.25">
      <c r="A36" s="60"/>
      <c r="B36" s="60"/>
      <c r="C36" s="60"/>
      <c r="D36" s="60"/>
      <c r="E36" s="60"/>
      <c r="F36" s="54" t="s">
        <v>27</v>
      </c>
      <c r="G36" s="54"/>
      <c r="H36" s="60"/>
    </row>
    <row r="37" spans="1:8" x14ac:dyDescent="0.25">
      <c r="A37" s="60"/>
      <c r="B37" s="60"/>
      <c r="C37" s="60"/>
      <c r="D37" s="60"/>
      <c r="E37" s="60"/>
      <c r="F37" s="52"/>
      <c r="G37" s="55"/>
      <c r="H37" s="60"/>
    </row>
    <row r="38" spans="1:8" x14ac:dyDescent="0.25">
      <c r="A38" s="60"/>
      <c r="B38" s="60"/>
      <c r="C38" s="60"/>
      <c r="D38" s="60"/>
      <c r="E38" s="60"/>
      <c r="F38" s="52"/>
      <c r="G38" s="55"/>
      <c r="H38" s="60"/>
    </row>
    <row r="39" spans="1:8" x14ac:dyDescent="0.25">
      <c r="A39" s="60"/>
      <c r="B39" s="60"/>
      <c r="C39" s="60"/>
      <c r="D39" s="60"/>
      <c r="E39" s="60"/>
      <c r="F39" s="52"/>
      <c r="G39" s="55"/>
      <c r="H39" s="60"/>
    </row>
    <row r="40" spans="1:8" x14ac:dyDescent="0.25">
      <c r="A40" s="60"/>
      <c r="B40" s="60"/>
      <c r="C40" s="60"/>
      <c r="D40" s="60"/>
      <c r="E40" s="60"/>
      <c r="F40" s="52"/>
      <c r="G40" s="55"/>
      <c r="H40" s="60"/>
    </row>
    <row r="41" spans="1:8" x14ac:dyDescent="0.25">
      <c r="A41" s="60"/>
      <c r="B41" s="60"/>
      <c r="C41" s="60"/>
      <c r="D41" s="60"/>
      <c r="E41" s="60"/>
      <c r="F41" s="53"/>
      <c r="G41" s="56"/>
      <c r="H41" s="60"/>
    </row>
    <row r="42" spans="1:8" x14ac:dyDescent="0.25">
      <c r="A42" s="60"/>
      <c r="B42" s="60"/>
      <c r="C42" s="60"/>
      <c r="D42" s="60"/>
      <c r="E42" s="60"/>
      <c r="F42" s="60"/>
      <c r="G42" s="60"/>
      <c r="H42" s="60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98"/>
  <sheetViews>
    <sheetView showZeros="0" tabSelected="1" showWhiteSpace="0" zoomScaleNormal="100" zoomScalePageLayoutView="70" workbookViewId="0">
      <pane xSplit="20" ySplit="8" topLeftCell="U15" activePane="bottomRight" state="frozen"/>
      <selection pane="topRight" activeCell="U1" sqref="U1"/>
      <selection pane="bottomLeft" activeCell="A9" sqref="A9"/>
      <selection pane="bottomRight" activeCell="O20" sqref="O20"/>
    </sheetView>
  </sheetViews>
  <sheetFormatPr baseColWidth="10" defaultRowHeight="16.5" x14ac:dyDescent="0.25"/>
  <cols>
    <col min="1" max="1" width="9.42578125" style="13" customWidth="1"/>
    <col min="2" max="2" width="40" style="13" customWidth="1"/>
    <col min="3" max="3" width="10.42578125" style="13" customWidth="1"/>
    <col min="4" max="4" width="8.28515625" style="13" customWidth="1"/>
    <col min="5" max="5" width="1.42578125" style="5" customWidth="1"/>
    <col min="6" max="6" width="8" style="13" bestFit="1" customWidth="1"/>
    <col min="7" max="7" width="1.42578125" style="5" customWidth="1"/>
    <col min="8" max="8" width="7.85546875" style="13" customWidth="1"/>
    <col min="9" max="9" width="1.42578125" style="5" customWidth="1"/>
    <col min="10" max="10" width="8" style="13" customWidth="1"/>
    <col min="11" max="11" width="1.42578125" style="5" customWidth="1"/>
    <col min="12" max="12" width="7.85546875" style="13" bestFit="1" customWidth="1"/>
    <col min="13" max="13" width="1.42578125" style="5" customWidth="1"/>
    <col min="14" max="14" width="8.28515625" style="13" bestFit="1" customWidth="1"/>
    <col min="15" max="15" width="1.42578125" style="5" customWidth="1"/>
    <col min="16" max="16" width="8.28515625" style="13" bestFit="1" customWidth="1"/>
    <col min="17" max="17" width="1.42578125" style="5" customWidth="1"/>
    <col min="18" max="18" width="7.85546875" style="13" bestFit="1" customWidth="1"/>
    <col min="19" max="19" width="1.42578125" style="5" customWidth="1"/>
    <col min="20" max="20" width="7.85546875" style="13" bestFit="1" customWidth="1"/>
    <col min="21" max="16384" width="11.42578125" style="13"/>
  </cols>
  <sheetData>
    <row r="3" spans="1:21" s="5" customFormat="1" ht="26.25" x14ac:dyDescent="0.25">
      <c r="A3" s="32"/>
      <c r="B3" s="35" t="str">
        <f>CONCATENATE(Base!A3," - ",Base!A4)</f>
        <v>Location - Matériel</v>
      </c>
      <c r="C3" s="31"/>
      <c r="D3" s="84" t="s">
        <v>44</v>
      </c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</row>
    <row r="4" spans="1:21" s="10" customFormat="1" ht="59.25" customHeight="1" thickBot="1" x14ac:dyDescent="0.35">
      <c r="A4" s="33"/>
      <c r="B4" s="7" t="s">
        <v>0</v>
      </c>
      <c r="C4" s="6"/>
      <c r="D4" s="8">
        <f>Base!B3</f>
        <v>44228</v>
      </c>
      <c r="E4" s="9"/>
      <c r="F4" s="63">
        <f>D4+7</f>
        <v>44235</v>
      </c>
      <c r="G4" s="9"/>
      <c r="H4" s="8">
        <f>F4+7</f>
        <v>44242</v>
      </c>
      <c r="I4" s="9"/>
      <c r="J4" s="8">
        <f>H4+7</f>
        <v>44249</v>
      </c>
      <c r="K4" s="9"/>
      <c r="L4" s="8">
        <f>J4+7</f>
        <v>44256</v>
      </c>
      <c r="M4" s="9"/>
      <c r="N4" s="8">
        <f>L4+7</f>
        <v>44263</v>
      </c>
      <c r="O4" s="9"/>
      <c r="P4" s="63">
        <f>N4+7</f>
        <v>44270</v>
      </c>
      <c r="Q4" s="9"/>
      <c r="R4" s="83">
        <f>P4+7</f>
        <v>44277</v>
      </c>
      <c r="S4" s="9"/>
      <c r="T4" s="83">
        <f>R4+7</f>
        <v>44284</v>
      </c>
      <c r="U4" s="62"/>
    </row>
    <row r="5" spans="1:21" ht="18.75" customHeight="1" thickBot="1" x14ac:dyDescent="0.3">
      <c r="A5" s="11" t="s">
        <v>5</v>
      </c>
      <c r="B5" s="12">
        <f>SUM(D5:T5)</f>
        <v>0.68055555555555558</v>
      </c>
      <c r="D5" s="14">
        <f>SUMIF($C$11:$C$10001,$C11,D$11:D$10001)</f>
        <v>0.2638888888888889</v>
      </c>
      <c r="E5" s="15"/>
      <c r="F5" s="14">
        <f>SUMIF($C$11:$C$10001,$C11,F$11:F$10001)</f>
        <v>4.1666666666666664E-2</v>
      </c>
      <c r="G5" s="15"/>
      <c r="H5" s="14">
        <f>SUMIF($C$11:$C$10001,$C11,H$11:H$10001)</f>
        <v>4.1666666666666664E-2</v>
      </c>
      <c r="I5" s="15"/>
      <c r="J5" s="14">
        <f>SUMIF($C$11:$C$10001,$C11,J$11:J$10001)</f>
        <v>4.1666666666666664E-2</v>
      </c>
      <c r="K5" s="15"/>
      <c r="L5" s="14">
        <f>SUMIF($C$11:$C$10001,$C11,L$11:L$10001)</f>
        <v>4.1666666666666664E-2</v>
      </c>
      <c r="M5" s="15"/>
      <c r="N5" s="14">
        <f>SUMIF($C$11:$C$10001,$C11,N$11:N$10001)</f>
        <v>4.1666666666666664E-2</v>
      </c>
      <c r="O5" s="15"/>
      <c r="P5" s="14">
        <f>SUMIF($C$11:$C$10001,$C11,P$11:P$10001)</f>
        <v>4.1666666666666664E-2</v>
      </c>
      <c r="Q5" s="15"/>
      <c r="R5" s="14">
        <f>SUMIF($C$11:$C$10001,$C11,R$11:R$10001)</f>
        <v>4.1666666666666664E-2</v>
      </c>
      <c r="S5" s="15"/>
      <c r="T5" s="14">
        <f>SUMIF($C$11:$C$10001,$C11,T$11:T$10001)</f>
        <v>0.125</v>
      </c>
    </row>
    <row r="6" spans="1:21" ht="18" customHeight="1" thickBot="1" x14ac:dyDescent="0.3">
      <c r="A6" s="17" t="s">
        <v>25</v>
      </c>
      <c r="B6" s="18">
        <f>SUM(D6:T6)</f>
        <v>6.25E-2</v>
      </c>
      <c r="C6" s="5"/>
      <c r="D6" s="16">
        <f>SUMIF($C$11:$C$10001,$C12,D$11:D$10001)</f>
        <v>6.25E-2</v>
      </c>
      <c r="E6" s="15"/>
      <c r="F6" s="16">
        <f>SUMIF($C$11:$C$10001,$C12,F$11:F$10001)</f>
        <v>0</v>
      </c>
      <c r="G6" s="15"/>
      <c r="H6" s="16">
        <f>SUMIF($C$11:$C$10001,$C12,H$11:H$10001)</f>
        <v>0</v>
      </c>
      <c r="I6" s="15"/>
      <c r="J6" s="16">
        <f>SUMIF($C$11:$C$10001,$C12,J$11:J$10001)</f>
        <v>0</v>
      </c>
      <c r="K6" s="15"/>
      <c r="L6" s="16">
        <f>SUMIF($C$11:$C$10001,$C12,L$11:L$10001)</f>
        <v>0</v>
      </c>
      <c r="M6" s="15"/>
      <c r="N6" s="16">
        <f>SUMIF($C$11:$C$10001,$C12,N$11:N$10001)</f>
        <v>0</v>
      </c>
      <c r="O6" s="15"/>
      <c r="P6" s="16">
        <f>SUMIF($C$11:$C$10001,$C12,P$11:P$10001)</f>
        <v>0</v>
      </c>
      <c r="Q6" s="15"/>
      <c r="R6" s="16">
        <f>SUMIF($C$11:$C$10001,$C12,R$11:R$10001)</f>
        <v>0</v>
      </c>
      <c r="S6" s="15"/>
      <c r="T6" s="16">
        <f>SUMIF($C$11:$C$10001,$C12,T$11:T$10001)</f>
        <v>0</v>
      </c>
    </row>
    <row r="7" spans="1:21" ht="18" customHeight="1" x14ac:dyDescent="0.25">
      <c r="A7" s="32"/>
      <c r="B7" s="32"/>
      <c r="C7" s="5"/>
      <c r="D7" s="109"/>
      <c r="E7" s="15"/>
      <c r="F7" s="109"/>
      <c r="G7" s="15"/>
      <c r="H7" s="109"/>
      <c r="I7" s="15"/>
      <c r="J7" s="109"/>
      <c r="K7" s="15"/>
      <c r="L7" s="109"/>
      <c r="M7" s="15"/>
      <c r="N7" s="109"/>
      <c r="O7" s="15"/>
      <c r="P7" s="109"/>
      <c r="Q7" s="15"/>
      <c r="R7" s="109"/>
      <c r="S7" s="15"/>
      <c r="T7" s="109"/>
    </row>
    <row r="8" spans="1:21" ht="15" customHeight="1" thickBot="1" x14ac:dyDescent="0.3">
      <c r="A8" s="4"/>
      <c r="B8" s="4"/>
      <c r="C8" s="110" t="s">
        <v>39</v>
      </c>
      <c r="D8" s="82">
        <f>WEEKNUM(D4,1)</f>
        <v>6</v>
      </c>
      <c r="E8" s="82">
        <f t="shared" ref="E8:T8" si="0">WEEKNUM(E4,1)</f>
        <v>0</v>
      </c>
      <c r="F8" s="82">
        <f t="shared" si="0"/>
        <v>7</v>
      </c>
      <c r="G8" s="82">
        <f t="shared" si="0"/>
        <v>0</v>
      </c>
      <c r="H8" s="82">
        <f t="shared" si="0"/>
        <v>8</v>
      </c>
      <c r="I8" s="82">
        <f t="shared" si="0"/>
        <v>0</v>
      </c>
      <c r="J8" s="82">
        <f t="shared" si="0"/>
        <v>9</v>
      </c>
      <c r="K8" s="82">
        <f t="shared" si="0"/>
        <v>0</v>
      </c>
      <c r="L8" s="82">
        <f t="shared" si="0"/>
        <v>10</v>
      </c>
      <c r="M8" s="82">
        <f t="shared" si="0"/>
        <v>0</v>
      </c>
      <c r="N8" s="82">
        <f t="shared" si="0"/>
        <v>11</v>
      </c>
      <c r="O8" s="82">
        <f t="shared" si="0"/>
        <v>0</v>
      </c>
      <c r="P8" s="82">
        <f t="shared" si="0"/>
        <v>12</v>
      </c>
      <c r="Q8" s="82">
        <f t="shared" si="0"/>
        <v>0</v>
      </c>
      <c r="R8" s="82">
        <f t="shared" si="0"/>
        <v>13</v>
      </c>
      <c r="S8" s="82">
        <f t="shared" si="0"/>
        <v>0</v>
      </c>
      <c r="T8" s="82">
        <f t="shared" si="0"/>
        <v>14</v>
      </c>
    </row>
    <row r="9" spans="1:21" ht="20.25" customHeight="1" x14ac:dyDescent="0.25">
      <c r="A9" s="85" t="str">
        <f>Base!F3</f>
        <v>1 Analyse</v>
      </c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111"/>
      <c r="U9" s="19">
        <f>SUMIF($C11:$C22,$C11,U11:U22)</f>
        <v>0.30555555555555558</v>
      </c>
    </row>
    <row r="10" spans="1:21" ht="15" customHeight="1" thickBot="1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112"/>
      <c r="U10" s="20">
        <f>SUMIF($C11:$C22,$C12,U11:U22)</f>
        <v>4.1666666666666664E-2</v>
      </c>
    </row>
    <row r="11" spans="1:21" ht="15" customHeight="1" x14ac:dyDescent="0.25">
      <c r="A11" s="41"/>
      <c r="B11" s="105" t="str">
        <f>Base!G3</f>
        <v>11 Analyse préliminaire</v>
      </c>
      <c r="C11" s="21" t="str">
        <f>A$5</f>
        <v>Prévu</v>
      </c>
      <c r="D11" s="36">
        <v>4.1666666666666664E-2</v>
      </c>
      <c r="E11" s="37"/>
      <c r="F11" s="40"/>
      <c r="G11" s="37"/>
      <c r="H11" s="36"/>
      <c r="I11" s="38"/>
      <c r="J11" s="39"/>
      <c r="K11" s="38"/>
      <c r="L11" s="40"/>
      <c r="M11" s="37"/>
      <c r="N11" s="39"/>
      <c r="O11" s="37"/>
      <c r="P11" s="40"/>
      <c r="Q11" s="37"/>
      <c r="R11" s="40"/>
      <c r="S11" s="37"/>
      <c r="T11" s="40"/>
      <c r="U11" s="22">
        <f t="shared" ref="U11:U22" si="1">IF(SUM(D11:T11)=0,"",SUM(D11:T11))</f>
        <v>4.1666666666666664E-2</v>
      </c>
    </row>
    <row r="12" spans="1:21" ht="15" customHeight="1" thickBot="1" x14ac:dyDescent="0.3">
      <c r="A12" s="41"/>
      <c r="B12" s="106"/>
      <c r="C12" s="23" t="str">
        <f>A$6</f>
        <v>Réalisé</v>
      </c>
      <c r="D12" s="24">
        <f>SUMIFS(Journal!$D$4:$D$9283,Journal!$B$4:$B$9283,D$8,Journal!$C$4:$C$9283,$B11)</f>
        <v>0</v>
      </c>
      <c r="E12" s="25"/>
      <c r="F12" s="24"/>
      <c r="G12" s="25"/>
      <c r="H12" s="24">
        <f>SUMIFS(Journal!$D$4:$D$9283,Journal!$B$4:$B$9283,H$8,Journal!$C$4:$C$9283,$B11)</f>
        <v>0</v>
      </c>
      <c r="I12" s="26"/>
      <c r="J12" s="24">
        <f>SUMIFS(Journal!$D$4:$D$9283,Journal!$B$4:$B$9283,J$8,Journal!$C$4:$C$9283,$B11)</f>
        <v>0</v>
      </c>
      <c r="K12" s="26"/>
      <c r="L12" s="24">
        <f>SUMIFS(Journal!$D$4:$D$9283,Journal!$B$4:$B$9283,L$8,Journal!$C$4:$C$9283,$B11)</f>
        <v>0</v>
      </c>
      <c r="M12" s="25"/>
      <c r="N12" s="24">
        <f>SUMIFS(Journal!$D$4:$D$9283,Journal!$B$4:$B$9283,N$8,Journal!$C$4:$C$9283,$B11)</f>
        <v>0</v>
      </c>
      <c r="O12" s="25"/>
      <c r="P12" s="24">
        <f>SUMIFS(Journal!$D$4:$D$9283,Journal!$B$4:$B$9283,P$8,Journal!$C$4:$C$9283,$B11)</f>
        <v>0</v>
      </c>
      <c r="Q12" s="25"/>
      <c r="R12" s="24">
        <f>SUMIFS(Journal!$D$4:$D$9283,Journal!$B$4:$B$9283,R$8,Journal!$C$4:$C$9283,$B11)</f>
        <v>0</v>
      </c>
      <c r="S12" s="25"/>
      <c r="T12" s="24">
        <f>SUMIFS(Journal!$D$4:$D$9283,Journal!$B$4:$B$9283,T$8,Journal!$C$4:$C$9283,$B11)</f>
        <v>0</v>
      </c>
      <c r="U12" s="27" t="str">
        <f t="shared" si="1"/>
        <v/>
      </c>
    </row>
    <row r="13" spans="1:21" ht="15" customHeight="1" x14ac:dyDescent="0.25">
      <c r="A13" s="41"/>
      <c r="B13" s="107" t="str">
        <f>Base!G4</f>
        <v>12 Planification initiale</v>
      </c>
      <c r="C13" s="21" t="str">
        <f>A$5</f>
        <v>Prévu</v>
      </c>
      <c r="D13" s="36">
        <v>6.25E-2</v>
      </c>
      <c r="E13" s="37"/>
      <c r="F13" s="40"/>
      <c r="G13" s="37"/>
      <c r="H13" s="36"/>
      <c r="I13" s="38"/>
      <c r="J13" s="36"/>
      <c r="K13" s="38"/>
      <c r="L13" s="40"/>
      <c r="M13" s="37"/>
      <c r="N13" s="39"/>
      <c r="O13" s="37"/>
      <c r="P13" s="40"/>
      <c r="Q13" s="37"/>
      <c r="R13" s="40"/>
      <c r="S13" s="37"/>
      <c r="T13" s="40">
        <v>4.1666666666666664E-2</v>
      </c>
      <c r="U13" s="22">
        <f t="shared" si="1"/>
        <v>0.10416666666666666</v>
      </c>
    </row>
    <row r="14" spans="1:21" ht="15" customHeight="1" thickBot="1" x14ac:dyDescent="0.3">
      <c r="A14" s="41"/>
      <c r="B14" s="106"/>
      <c r="C14" s="23" t="str">
        <f>A$6</f>
        <v>Réalisé</v>
      </c>
      <c r="D14" s="24">
        <f>SUMIFS(Journal!$D$4:$D$9283,Journal!$B$4:$B$9283,D$8,Journal!$C$4:$C$9283,$B13)</f>
        <v>4.1666666666666664E-2</v>
      </c>
      <c r="E14" s="25"/>
      <c r="F14" s="24">
        <f>SUMIFS(Journal!$D$4:$D$9283,Journal!$B$4:$B$9283,F$8,Journal!$C$4:$C$9283,$B13)</f>
        <v>0</v>
      </c>
      <c r="G14" s="25"/>
      <c r="H14" s="24">
        <f>SUMIFS(Journal!$D$4:$D$9283,Journal!$B$4:$B$9283,H$8,Journal!$C$4:$C$9283,$B13)</f>
        <v>0</v>
      </c>
      <c r="I14" s="26"/>
      <c r="J14" s="24">
        <f>SUMIFS(Journal!$D$4:$D$9283,Journal!$B$4:$B$9283,J$8,Journal!$C$4:$C$9283,$B13)</f>
        <v>0</v>
      </c>
      <c r="K14" s="26"/>
      <c r="L14" s="24">
        <f>SUMIFS(Journal!$D$4:$D$9283,Journal!$B$4:$B$9283,L$8,Journal!$C$4:$C$9283,$B13)</f>
        <v>0</v>
      </c>
      <c r="M14" s="25"/>
      <c r="N14" s="24">
        <f>SUMIFS(Journal!$D$4:$D$9283,Journal!$B$4:$B$9283,N$8,Journal!$C$4:$C$9283,$B13)</f>
        <v>0</v>
      </c>
      <c r="O14" s="25"/>
      <c r="P14" s="24">
        <f>SUMIFS(Journal!$D$4:$D$9283,Journal!$B$4:$B$9283,P$8,Journal!$C$4:$C$9283,$B13)</f>
        <v>0</v>
      </c>
      <c r="Q14" s="25"/>
      <c r="R14" s="24">
        <f>SUMIFS(Journal!$D$4:$D$9283,Journal!$B$4:$B$9283,R$8,Journal!$C$4:$C$9283,$B13)</f>
        <v>0</v>
      </c>
      <c r="S14" s="25"/>
      <c r="T14" s="24">
        <f>SUMIFS(Journal!$D$4:$D$9283,Journal!$B$4:$B$9283,T$8,Journal!$C$4:$C$9283,$B13)</f>
        <v>0</v>
      </c>
      <c r="U14" s="27">
        <f t="shared" si="1"/>
        <v>4.1666666666666664E-2</v>
      </c>
    </row>
    <row r="15" spans="1:21" ht="15" customHeight="1" x14ac:dyDescent="0.25">
      <c r="A15" s="41"/>
      <c r="B15" s="107" t="str">
        <f>Base!G5</f>
        <v>13 Objectifs du projet</v>
      </c>
      <c r="C15" s="21" t="str">
        <f>A$5</f>
        <v>Prévu</v>
      </c>
      <c r="D15" s="36">
        <v>1.3888888888888888E-2</v>
      </c>
      <c r="E15" s="37"/>
      <c r="F15" s="40"/>
      <c r="G15" s="37"/>
      <c r="H15" s="36"/>
      <c r="I15" s="38"/>
      <c r="J15" s="39"/>
      <c r="K15" s="38"/>
      <c r="L15" s="40"/>
      <c r="M15" s="37"/>
      <c r="N15" s="39"/>
      <c r="O15" s="37"/>
      <c r="P15" s="40"/>
      <c r="Q15" s="37"/>
      <c r="S15" s="37"/>
      <c r="T15" s="40"/>
      <c r="U15" s="22">
        <f t="shared" si="1"/>
        <v>1.3888888888888888E-2</v>
      </c>
    </row>
    <row r="16" spans="1:21" ht="15" customHeight="1" thickBot="1" x14ac:dyDescent="0.3">
      <c r="A16" s="41"/>
      <c r="B16" s="106"/>
      <c r="C16" s="23" t="str">
        <f>A$6</f>
        <v>Réalisé</v>
      </c>
      <c r="D16" s="24">
        <f>SUMIFS(Journal!$D$4:$D$9283,Journal!$B$4:$B$9283,D$8,Journal!$C$4:$C$9283,$B15)</f>
        <v>0</v>
      </c>
      <c r="E16" s="25"/>
      <c r="F16" s="24">
        <f>SUMIFS(Journal!$D$4:$D$9283,Journal!$B$4:$B$9283,F$8,Journal!$C$4:$C$9283,$B15)</f>
        <v>0</v>
      </c>
      <c r="G16" s="25"/>
      <c r="H16" s="24">
        <f>SUMIFS(Journal!$D$4:$D$9283,Journal!$B$4:$B$9283,H$8,Journal!$C$4:$C$9283,$B15)</f>
        <v>0</v>
      </c>
      <c r="I16" s="26"/>
      <c r="J16" s="24">
        <f>SUMIFS(Journal!$D$4:$D$9283,Journal!$B$4:$B$9283,J$8,Journal!$C$4:$C$9283,$B15)</f>
        <v>0</v>
      </c>
      <c r="K16" s="26"/>
      <c r="L16" s="24">
        <f>SUMIFS(Journal!$D$4:$D$9283,Journal!$B$4:$B$9283,L$8,Journal!$C$4:$C$9283,$B15)</f>
        <v>0</v>
      </c>
      <c r="M16" s="25"/>
      <c r="N16" s="24">
        <f>SUMIFS(Journal!$D$4:$D$9283,Journal!$B$4:$B$9283,N$8,Journal!$C$4:$C$9283,$B15)</f>
        <v>0</v>
      </c>
      <c r="O16" s="25"/>
      <c r="P16" s="24">
        <f>SUMIFS(Journal!$D$4:$D$9283,Journal!$B$4:$B$9283,P$8,Journal!$C$4:$C$9283,$B15)</f>
        <v>0</v>
      </c>
      <c r="Q16" s="25"/>
      <c r="R16" s="24">
        <f>SUMIFS(Journal!$D$4:$D$9283,Journal!$B$4:$B$9283,R$8,Journal!$C$4:$C$9283,$B15)</f>
        <v>0</v>
      </c>
      <c r="S16" s="25"/>
      <c r="T16" s="24">
        <f>SUMIFS(Journal!$D$4:$D$9283,Journal!$B$4:$B$9283,T$8,Journal!$C$4:$C$9283,$B15)</f>
        <v>0</v>
      </c>
      <c r="U16" s="27" t="str">
        <f t="shared" si="1"/>
        <v/>
      </c>
    </row>
    <row r="17" spans="1:21" ht="15" customHeight="1" x14ac:dyDescent="0.25">
      <c r="A17" s="41"/>
      <c r="B17" s="107" t="str">
        <f>Base!G6</f>
        <v>14 Stratégie de tests</v>
      </c>
      <c r="C17" s="21" t="str">
        <f>A$5</f>
        <v>Prévu</v>
      </c>
      <c r="D17" s="39">
        <v>6.25E-2</v>
      </c>
      <c r="E17" s="37"/>
      <c r="F17" s="36"/>
      <c r="G17" s="38"/>
      <c r="H17" s="39"/>
      <c r="I17" s="38"/>
      <c r="J17" s="40"/>
      <c r="K17" s="37"/>
      <c r="L17" s="36"/>
      <c r="M17" s="37"/>
      <c r="N17" s="36"/>
      <c r="O17" s="37"/>
      <c r="P17" s="36"/>
      <c r="Q17" s="37"/>
      <c r="R17" s="36"/>
      <c r="S17" s="37"/>
      <c r="T17" s="36"/>
      <c r="U17" s="22">
        <f t="shared" si="1"/>
        <v>6.25E-2</v>
      </c>
    </row>
    <row r="18" spans="1:21" ht="15" customHeight="1" thickBot="1" x14ac:dyDescent="0.3">
      <c r="A18" s="41"/>
      <c r="B18" s="106"/>
      <c r="C18" s="23" t="str">
        <f>A$6</f>
        <v>Réalisé</v>
      </c>
      <c r="D18" s="24">
        <f>SUMIFS(Journal!$D$4:$D$9283,Journal!$B$4:$B$9283,D$8,Journal!$C$4:$C$9283,$B17)</f>
        <v>0</v>
      </c>
      <c r="E18" s="25"/>
      <c r="F18" s="24">
        <f>SUMIFS(Journal!$D$4:$D$9283,Journal!$B$4:$B$9283,F$8,Journal!$C$4:$C$9283,$B17)</f>
        <v>0</v>
      </c>
      <c r="G18" s="26"/>
      <c r="H18" s="24">
        <f>SUMIFS(Journal!$D$4:$D$9283,Journal!$B$4:$B$9283,H$8,Journal!$C$4:$C$9283,$B17)</f>
        <v>0</v>
      </c>
      <c r="I18" s="26"/>
      <c r="J18" s="24">
        <f>SUMIFS(Journal!$D$4:$D$9283,Journal!$B$4:$B$9283,J$8,Journal!$C$4:$C$9283,$B17)</f>
        <v>0</v>
      </c>
      <c r="K18" s="25"/>
      <c r="L18" s="24">
        <f>SUMIFS(Journal!$D$4:$D$9283,Journal!$B$4:$B$9283,L$8,Journal!$C$4:$C$9283,$B17)</f>
        <v>0</v>
      </c>
      <c r="M18" s="25"/>
      <c r="N18" s="24">
        <f>SUMIFS(Journal!$D$4:$D$9283,Journal!$B$4:$B$9283,N$8,Journal!$C$4:$C$9283,$B17)</f>
        <v>0</v>
      </c>
      <c r="O18" s="25"/>
      <c r="P18" s="24">
        <f>SUMIFS(Journal!$D$4:$D$9283,Journal!$B$4:$B$9283,P$8,Journal!$C$4:$C$9283,$B17)</f>
        <v>0</v>
      </c>
      <c r="Q18" s="25"/>
      <c r="R18" s="24">
        <f>SUMIFS(Journal!$D$4:$D$9283,Journal!$B$4:$B$9283,R$8,Journal!$C$4:$C$9283,$B17)</f>
        <v>0</v>
      </c>
      <c r="S18" s="25"/>
      <c r="T18" s="24">
        <f>SUMIFS(Journal!$D$4:$D$9283,Journal!$B$4:$B$9283,T$8,Journal!$C$4:$C$9283,$B17)</f>
        <v>0</v>
      </c>
      <c r="U18" s="27" t="str">
        <f t="shared" si="1"/>
        <v/>
      </c>
    </row>
    <row r="19" spans="1:21" ht="15" customHeight="1" x14ac:dyDescent="0.25">
      <c r="A19" s="41"/>
      <c r="B19" s="107" t="str">
        <f>Base!G7</f>
        <v>15 Risques techniques</v>
      </c>
      <c r="C19" s="21" t="str">
        <f>A$5</f>
        <v>Prévu</v>
      </c>
      <c r="D19" s="36"/>
      <c r="E19" s="37"/>
      <c r="F19" s="36"/>
      <c r="G19" s="38"/>
      <c r="H19" s="36"/>
      <c r="I19" s="38"/>
      <c r="J19" s="40"/>
      <c r="K19" s="37"/>
      <c r="L19" s="40"/>
      <c r="M19" s="37"/>
      <c r="N19" s="39"/>
      <c r="O19" s="37"/>
      <c r="P19" s="40"/>
      <c r="Q19" s="37"/>
      <c r="R19" s="36"/>
      <c r="S19" s="37"/>
      <c r="T19" s="36">
        <v>4.1666666666666664E-2</v>
      </c>
      <c r="U19" s="22">
        <f t="shared" si="1"/>
        <v>4.1666666666666664E-2</v>
      </c>
    </row>
    <row r="20" spans="1:21" ht="15" customHeight="1" thickBot="1" x14ac:dyDescent="0.3">
      <c r="A20" s="41"/>
      <c r="B20" s="106"/>
      <c r="C20" s="23" t="str">
        <f>A$6</f>
        <v>Réalisé</v>
      </c>
      <c r="D20" s="24">
        <f>SUMIFS(Journal!$D$4:$D$9283,Journal!$B$4:$B$9283,D$8,Journal!$C$4:$C$9283,$B19)</f>
        <v>0</v>
      </c>
      <c r="E20" s="25"/>
      <c r="F20" s="24">
        <f>SUMIFS(Journal!$D$4:$D$9283,Journal!$B$4:$B$9283,F$8,Journal!$C$4:$C$9283,$B19)</f>
        <v>0</v>
      </c>
      <c r="G20" s="26"/>
      <c r="H20" s="24">
        <f>SUMIFS(Journal!$D$4:$D$9283,Journal!$B$4:$B$9283,H$8,Journal!$C$4:$C$9283,$B19)</f>
        <v>0</v>
      </c>
      <c r="I20" s="26"/>
      <c r="J20" s="24">
        <f>SUMIFS(Journal!$D$4:$D$9283,Journal!$B$4:$B$9283,J$8,Journal!$C$4:$C$9283,$B19)</f>
        <v>0</v>
      </c>
      <c r="K20" s="25"/>
      <c r="L20" s="24">
        <f>SUMIFS(Journal!$D$4:$D$9283,Journal!$B$4:$B$9283,L$8,Journal!$C$4:$C$9283,$B19)</f>
        <v>0</v>
      </c>
      <c r="M20" s="25"/>
      <c r="N20" s="24">
        <f>SUMIFS(Journal!$D$4:$D$9283,Journal!$B$4:$B$9283,N$8,Journal!$C$4:$C$9283,$B19)</f>
        <v>0</v>
      </c>
      <c r="O20" s="25"/>
      <c r="P20" s="24">
        <f>SUMIFS(Journal!$D$4:$D$9283,Journal!$B$4:$B$9283,P$8,Journal!$C$4:$C$9283,$B19)</f>
        <v>0</v>
      </c>
      <c r="Q20" s="25"/>
      <c r="R20" s="24">
        <f>SUMIFS(Journal!$D$4:$D$9283,Journal!$B$4:$B$9283,R$8,Journal!$C$4:$C$9283,$B19)</f>
        <v>0</v>
      </c>
      <c r="S20" s="25"/>
      <c r="T20" s="24">
        <f>SUMIFS(Journal!$D$4:$D$9283,Journal!$B$4:$B$9283,T$8,Journal!$C$4:$C$9283,$B19)</f>
        <v>0</v>
      </c>
      <c r="U20" s="27" t="str">
        <f t="shared" si="1"/>
        <v/>
      </c>
    </row>
    <row r="21" spans="1:21" ht="15" customHeight="1" x14ac:dyDescent="0.25">
      <c r="A21" s="41"/>
      <c r="B21" s="107" t="str">
        <f>Base!G8</f>
        <v>16 Planification définitive</v>
      </c>
      <c r="C21" s="21" t="str">
        <f>A$5</f>
        <v>Prévu</v>
      </c>
      <c r="D21" s="39">
        <v>4.1666666666666664E-2</v>
      </c>
      <c r="E21" s="37"/>
      <c r="F21" s="36"/>
      <c r="G21" s="38"/>
      <c r="H21" s="39"/>
      <c r="I21" s="38"/>
      <c r="J21" s="40"/>
      <c r="K21" s="37"/>
      <c r="L21" s="36"/>
      <c r="M21" s="37"/>
      <c r="N21" s="36"/>
      <c r="O21" s="37"/>
      <c r="P21" s="36"/>
      <c r="Q21" s="37"/>
      <c r="R21" s="36"/>
      <c r="S21" s="37"/>
      <c r="T21" s="36"/>
      <c r="U21" s="22">
        <f t="shared" si="1"/>
        <v>4.1666666666666664E-2</v>
      </c>
    </row>
    <row r="22" spans="1:21" ht="15" customHeight="1" thickBot="1" x14ac:dyDescent="0.3">
      <c r="A22" s="41"/>
      <c r="B22" s="108"/>
      <c r="C22" s="23" t="str">
        <f>A$6</f>
        <v>Réalisé</v>
      </c>
      <c r="D22" s="24">
        <f>SUMIFS(Journal!$D$4:$D$9283,Journal!$B$4:$B$9283,D$8,Journal!$C$4:$C$9283,$B21)</f>
        <v>0</v>
      </c>
      <c r="E22" s="25"/>
      <c r="F22" s="24">
        <f>SUMIFS(Journal!$D$4:$D$9283,Journal!$B$4:$B$9283,F$8,Journal!$C$4:$C$9283,$B21)</f>
        <v>0</v>
      </c>
      <c r="G22" s="26"/>
      <c r="H22" s="24">
        <f>SUMIFS(Journal!$D$4:$D$9283,Journal!$B$4:$B$9283,H$8,Journal!$C$4:$C$9283,$B21)</f>
        <v>0</v>
      </c>
      <c r="I22" s="26"/>
      <c r="J22" s="24">
        <f>SUMIFS(Journal!$D$4:$D$9283,Journal!$B$4:$B$9283,J$8,Journal!$C$4:$C$9283,$B21)</f>
        <v>0</v>
      </c>
      <c r="K22" s="25"/>
      <c r="L22" s="24">
        <f>SUMIFS(Journal!$D$4:$D$9283,Journal!$B$4:$B$9283,L$8,Journal!$C$4:$C$9283,$B21)</f>
        <v>0</v>
      </c>
      <c r="M22" s="25"/>
      <c r="N22" s="24">
        <f>SUMIFS(Journal!$D$4:$D$9283,Journal!$B$4:$B$9283,N$8,Journal!$C$4:$C$9283,$B21)</f>
        <v>0</v>
      </c>
      <c r="O22" s="25"/>
      <c r="P22" s="24">
        <f>SUMIFS(Journal!$D$4:$D$9283,Journal!$B$4:$B$9283,P$8,Journal!$C$4:$C$9283,$B21)</f>
        <v>0</v>
      </c>
      <c r="Q22" s="25"/>
      <c r="R22" s="24">
        <f>SUMIFS(Journal!$D$4:$D$9283,Journal!$B$4:$B$9283,R$8,Journal!$C$4:$C$9283,$B21)</f>
        <v>0</v>
      </c>
      <c r="S22" s="25"/>
      <c r="T22" s="24">
        <f>SUMIFS(Journal!$D$4:$D$9283,Journal!$B$4:$B$9283,T$8,Journal!$C$4:$C$9283,$B21)</f>
        <v>0</v>
      </c>
      <c r="U22" s="27" t="str">
        <f t="shared" si="1"/>
        <v/>
      </c>
    </row>
    <row r="23" spans="1:21" ht="15" customHeight="1" x14ac:dyDescent="0.25">
      <c r="A23" s="89" t="str">
        <f>Base!F9</f>
        <v>2 Conception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19">
        <f>SUMIF($C25:$C36,$C25,U25:U36)</f>
        <v>0</v>
      </c>
    </row>
    <row r="24" spans="1:21" ht="15" customHeight="1" thickBot="1" x14ac:dyDescent="0.3">
      <c r="A24" s="91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20">
        <f>SUMIF($C25:$C36,$C26,U25:U36)</f>
        <v>0</v>
      </c>
    </row>
    <row r="25" spans="1:21" ht="15" customHeight="1" x14ac:dyDescent="0.25">
      <c r="A25" s="41"/>
      <c r="B25" s="105" t="str">
        <f>Base!G9</f>
        <v>21 Base de données (MCD, MLD)</v>
      </c>
      <c r="C25" s="21" t="str">
        <f>A$5</f>
        <v>Prévu</v>
      </c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19"/>
    </row>
    <row r="26" spans="1:21" ht="15" customHeight="1" thickBot="1" x14ac:dyDescent="0.3">
      <c r="A26" s="41"/>
      <c r="B26" s="106"/>
      <c r="C26" s="23" t="str">
        <f>A$6</f>
        <v>Réalisé</v>
      </c>
      <c r="D26" s="24">
        <f>SUMIFS(Journal!$D$4:$D$9283,Journal!$B$4:$B$9283,D$8,Journal!$C$4:$C$9283,$B25)</f>
        <v>0</v>
      </c>
      <c r="E26" s="24">
        <f>SUMIFS(Journal!$D$4:$D$9283,Journal!$B$4:$B$9283,E$8,Journal!$C$4:$C$9283,$B25)</f>
        <v>0</v>
      </c>
      <c r="F26" s="24">
        <f>SUMIFS(Journal!$D$4:$D$9283,Journal!$B$4:$B$9283,F$8,Journal!$C$4:$C$9283,$B25)</f>
        <v>0</v>
      </c>
      <c r="G26" s="24">
        <f>SUMIFS(Journal!$D$4:$D$9283,Journal!$B$4:$B$9283,G$8,Journal!$C$4:$C$9283,$B25)</f>
        <v>0</v>
      </c>
      <c r="H26" s="24">
        <f>SUMIFS(Journal!$D$4:$D$9283,Journal!$B$4:$B$9283,H$8,Journal!$C$4:$C$9283,$B25)</f>
        <v>0</v>
      </c>
      <c r="I26" s="24">
        <f>SUMIFS(Journal!$D$4:$D$9283,Journal!$B$4:$B$9283,I$8,Journal!$C$4:$C$9283,$B25)</f>
        <v>0</v>
      </c>
      <c r="J26" s="24">
        <f>SUMIFS(Journal!$D$4:$D$9283,Journal!$B$4:$B$9283,J$8,Journal!$C$4:$C$9283,$B25)</f>
        <v>0</v>
      </c>
      <c r="K26" s="24">
        <f>SUMIFS(Journal!$D$4:$D$9283,Journal!$B$4:$B$9283,K$8,Journal!$C$4:$C$9283,$B25)</f>
        <v>0</v>
      </c>
      <c r="L26" s="24">
        <f>SUMIFS(Journal!$D$4:$D$9283,Journal!$B$4:$B$9283,L$8,Journal!$C$4:$C$9283,$B25)</f>
        <v>0</v>
      </c>
      <c r="M26" s="24">
        <f>SUMIFS(Journal!$D$4:$D$9283,Journal!$B$4:$B$9283,M$8,Journal!$C$4:$C$9283,$B25)</f>
        <v>0</v>
      </c>
      <c r="N26" s="24">
        <f>SUMIFS(Journal!$D$4:$D$9283,Journal!$B$4:$B$9283,N$8,Journal!$C$4:$C$9283,$B25)</f>
        <v>0</v>
      </c>
      <c r="O26" s="24">
        <f>SUMIFS(Journal!$D$4:$D$9283,Journal!$B$4:$B$9283,O$8,Journal!$C$4:$C$9283,$B25)</f>
        <v>0</v>
      </c>
      <c r="P26" s="24">
        <f>SUMIFS(Journal!$D$4:$D$9283,Journal!$B$4:$B$9283,P$8,Journal!$C$4:$C$9283,$B25)</f>
        <v>0</v>
      </c>
      <c r="Q26" s="24">
        <f>SUMIFS(Journal!$D$4:$D$9283,Journal!$B$4:$B$9283,Q$8,Journal!$C$4:$C$9283,$B25)</f>
        <v>0</v>
      </c>
      <c r="R26" s="24">
        <f>SUMIFS(Journal!$D$4:$D$9283,Journal!$B$4:$B$9283,R$8,Journal!$C$4:$C$9283,$B25)</f>
        <v>0</v>
      </c>
      <c r="S26" s="24">
        <f>SUMIFS(Journal!$D$4:$D$9283,Journal!$B$4:$B$9283,S$8,Journal!$C$4:$C$9283,$B25)</f>
        <v>0</v>
      </c>
      <c r="T26" s="24">
        <f>SUMIFS(Journal!$D$4:$D$9283,Journal!$B$4:$B$9283,T$8,Journal!$C$4:$C$9283,$B25)</f>
        <v>0</v>
      </c>
      <c r="U26" s="20"/>
    </row>
    <row r="27" spans="1:21" ht="15" customHeight="1" x14ac:dyDescent="0.25">
      <c r="A27" s="41"/>
      <c r="B27" s="107" t="str">
        <f>Base!G10</f>
        <v>22 Maquettes</v>
      </c>
      <c r="C27" s="21" t="str">
        <f>A$5</f>
        <v>Prévu</v>
      </c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19"/>
    </row>
    <row r="28" spans="1:21" ht="15" customHeight="1" thickBot="1" x14ac:dyDescent="0.3">
      <c r="A28" s="41"/>
      <c r="B28" s="106"/>
      <c r="C28" s="23" t="str">
        <f>A$6</f>
        <v>Réalisé</v>
      </c>
      <c r="D28" s="24">
        <f>SUMIFS(Journal!$D$4:$D$9283,Journal!$B$4:$B$9283,D$8,Journal!$C$4:$C$9283,$B27)</f>
        <v>0</v>
      </c>
      <c r="E28" s="24">
        <f>SUMIFS(Journal!$D$4:$D$9283,Journal!$B$4:$B$9283,E$8,Journal!$C$4:$C$9283,$B27)</f>
        <v>0</v>
      </c>
      <c r="F28" s="24">
        <f>SUMIFS(Journal!$D$4:$D$9283,Journal!$B$4:$B$9283,F$8,Journal!$C$4:$C$9283,$B27)</f>
        <v>0</v>
      </c>
      <c r="G28" s="24">
        <f>SUMIFS(Journal!$D$4:$D$9283,Journal!$B$4:$B$9283,G$8,Journal!$C$4:$C$9283,$B27)</f>
        <v>0</v>
      </c>
      <c r="H28" s="24">
        <f>SUMIFS(Journal!$D$4:$D$9283,Journal!$B$4:$B$9283,H$8,Journal!$C$4:$C$9283,$B27)</f>
        <v>0</v>
      </c>
      <c r="I28" s="24">
        <f>SUMIFS(Journal!$D$4:$D$9283,Journal!$B$4:$B$9283,I$8,Journal!$C$4:$C$9283,$B27)</f>
        <v>0</v>
      </c>
      <c r="J28" s="24">
        <f>SUMIFS(Journal!$D$4:$D$9283,Journal!$B$4:$B$9283,J$8,Journal!$C$4:$C$9283,$B27)</f>
        <v>0</v>
      </c>
      <c r="K28" s="24">
        <f>SUMIFS(Journal!$D$4:$D$9283,Journal!$B$4:$B$9283,K$8,Journal!$C$4:$C$9283,$B27)</f>
        <v>0</v>
      </c>
      <c r="L28" s="24">
        <f>SUMIFS(Journal!$D$4:$D$9283,Journal!$B$4:$B$9283,L$8,Journal!$C$4:$C$9283,$B27)</f>
        <v>0</v>
      </c>
      <c r="M28" s="24">
        <f>SUMIFS(Journal!$D$4:$D$9283,Journal!$B$4:$B$9283,M$8,Journal!$C$4:$C$9283,$B27)</f>
        <v>0</v>
      </c>
      <c r="N28" s="24">
        <f>SUMIFS(Journal!$D$4:$D$9283,Journal!$B$4:$B$9283,N$8,Journal!$C$4:$C$9283,$B27)</f>
        <v>0</v>
      </c>
      <c r="O28" s="24">
        <f>SUMIFS(Journal!$D$4:$D$9283,Journal!$B$4:$B$9283,O$8,Journal!$C$4:$C$9283,$B27)</f>
        <v>0</v>
      </c>
      <c r="P28" s="24">
        <f>SUMIFS(Journal!$D$4:$D$9283,Journal!$B$4:$B$9283,P$8,Journal!$C$4:$C$9283,$B27)</f>
        <v>0</v>
      </c>
      <c r="Q28" s="24">
        <f>SUMIFS(Journal!$D$4:$D$9283,Journal!$B$4:$B$9283,Q$8,Journal!$C$4:$C$9283,$B27)</f>
        <v>0</v>
      </c>
      <c r="R28" s="24">
        <f>SUMIFS(Journal!$D$4:$D$9283,Journal!$B$4:$B$9283,R$8,Journal!$C$4:$C$9283,$B27)</f>
        <v>0</v>
      </c>
      <c r="S28" s="24">
        <f>SUMIFS(Journal!$D$4:$D$9283,Journal!$B$4:$B$9283,S$8,Journal!$C$4:$C$9283,$B27)</f>
        <v>0</v>
      </c>
      <c r="T28" s="24">
        <f>SUMIFS(Journal!$D$4:$D$9283,Journal!$B$4:$B$9283,T$8,Journal!$C$4:$C$9283,$B27)</f>
        <v>0</v>
      </c>
      <c r="U28" s="20"/>
    </row>
    <row r="29" spans="1:21" ht="15" customHeight="1" x14ac:dyDescent="0.25">
      <c r="A29" s="41"/>
      <c r="B29" s="107" t="str">
        <f>Base!G11</f>
        <v>23 Diagrammes de flux</v>
      </c>
      <c r="C29" s="21" t="str">
        <f>A$5</f>
        <v>Prévu</v>
      </c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19"/>
    </row>
    <row r="30" spans="1:21" ht="15" customHeight="1" thickBot="1" x14ac:dyDescent="0.3">
      <c r="A30" s="41"/>
      <c r="B30" s="106"/>
      <c r="C30" s="23" t="str">
        <f>A$6</f>
        <v>Réalisé</v>
      </c>
      <c r="D30" s="24">
        <f>SUMIFS(Journal!$D$4:$D$9283,Journal!$B$4:$B$9283,D$8,Journal!$C$4:$C$9283,$B29)</f>
        <v>0</v>
      </c>
      <c r="E30" s="24">
        <f>SUMIFS(Journal!$D$4:$D$9283,Journal!$B$4:$B$9283,E$8,Journal!$C$4:$C$9283,$B29)</f>
        <v>0</v>
      </c>
      <c r="F30" s="24">
        <f>SUMIFS(Journal!$D$4:$D$9283,Journal!$B$4:$B$9283,F$8,Journal!$C$4:$C$9283,$B29)</f>
        <v>0</v>
      </c>
      <c r="G30" s="24">
        <f>SUMIFS(Journal!$D$4:$D$9283,Journal!$B$4:$B$9283,G$8,Journal!$C$4:$C$9283,$B29)</f>
        <v>0</v>
      </c>
      <c r="H30" s="24">
        <f>SUMIFS(Journal!$D$4:$D$9283,Journal!$B$4:$B$9283,H$8,Journal!$C$4:$C$9283,$B29)</f>
        <v>0</v>
      </c>
      <c r="I30" s="24">
        <f>SUMIFS(Journal!$D$4:$D$9283,Journal!$B$4:$B$9283,I$8,Journal!$C$4:$C$9283,$B29)</f>
        <v>0</v>
      </c>
      <c r="J30" s="24">
        <f>SUMIFS(Journal!$D$4:$D$9283,Journal!$B$4:$B$9283,J$8,Journal!$C$4:$C$9283,$B29)</f>
        <v>0</v>
      </c>
      <c r="K30" s="24">
        <f>SUMIFS(Journal!$D$4:$D$9283,Journal!$B$4:$B$9283,K$8,Journal!$C$4:$C$9283,$B29)</f>
        <v>0</v>
      </c>
      <c r="L30" s="24">
        <f>SUMIFS(Journal!$D$4:$D$9283,Journal!$B$4:$B$9283,L$8,Journal!$C$4:$C$9283,$B29)</f>
        <v>0</v>
      </c>
      <c r="M30" s="24">
        <f>SUMIFS(Journal!$D$4:$D$9283,Journal!$B$4:$B$9283,M$8,Journal!$C$4:$C$9283,$B29)</f>
        <v>0</v>
      </c>
      <c r="N30" s="24">
        <f>SUMIFS(Journal!$D$4:$D$9283,Journal!$B$4:$B$9283,N$8,Journal!$C$4:$C$9283,$B29)</f>
        <v>0</v>
      </c>
      <c r="O30" s="24">
        <f>SUMIFS(Journal!$D$4:$D$9283,Journal!$B$4:$B$9283,O$8,Journal!$C$4:$C$9283,$B29)</f>
        <v>0</v>
      </c>
      <c r="P30" s="24">
        <f>SUMIFS(Journal!$D$4:$D$9283,Journal!$B$4:$B$9283,P$8,Journal!$C$4:$C$9283,$B29)</f>
        <v>0</v>
      </c>
      <c r="Q30" s="24">
        <f>SUMIFS(Journal!$D$4:$D$9283,Journal!$B$4:$B$9283,Q$8,Journal!$C$4:$C$9283,$B29)</f>
        <v>0</v>
      </c>
      <c r="R30" s="24">
        <f>SUMIFS(Journal!$D$4:$D$9283,Journal!$B$4:$B$9283,R$8,Journal!$C$4:$C$9283,$B29)</f>
        <v>0</v>
      </c>
      <c r="S30" s="24">
        <f>SUMIFS(Journal!$D$4:$D$9283,Journal!$B$4:$B$9283,S$8,Journal!$C$4:$C$9283,$B29)</f>
        <v>0</v>
      </c>
      <c r="T30" s="24">
        <f>SUMIFS(Journal!$D$4:$D$9283,Journal!$B$4:$B$9283,T$8,Journal!$C$4:$C$9283,$B29)</f>
        <v>0</v>
      </c>
      <c r="U30" s="20"/>
    </row>
    <row r="31" spans="1:21" ht="15" customHeight="1" x14ac:dyDescent="0.25">
      <c r="A31" s="41"/>
      <c r="B31" s="107" t="str">
        <f>Base!G12</f>
        <v>24 -</v>
      </c>
      <c r="C31" s="21" t="str">
        <f>A$5</f>
        <v>Prévu</v>
      </c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19"/>
    </row>
    <row r="32" spans="1:21" ht="15" customHeight="1" thickBot="1" x14ac:dyDescent="0.3">
      <c r="A32" s="41"/>
      <c r="B32" s="106"/>
      <c r="C32" s="23" t="str">
        <f>A$6</f>
        <v>Réalisé</v>
      </c>
      <c r="D32" s="24">
        <f>SUMIFS(Journal!$D$4:$D$9283,Journal!$B$4:$B$9283,D$8,Journal!$C$4:$C$9283,$B31)</f>
        <v>0</v>
      </c>
      <c r="E32" s="24">
        <f>SUMIFS(Journal!$D$4:$D$9283,Journal!$B$4:$B$9283,E$8,Journal!$C$4:$C$9283,$B31)</f>
        <v>0</v>
      </c>
      <c r="F32" s="24">
        <f>SUMIFS(Journal!$D$4:$D$9283,Journal!$B$4:$B$9283,F$8,Journal!$C$4:$C$9283,$B31)</f>
        <v>0</v>
      </c>
      <c r="G32" s="24">
        <f>SUMIFS(Journal!$D$4:$D$9283,Journal!$B$4:$B$9283,G$8,Journal!$C$4:$C$9283,$B31)</f>
        <v>0</v>
      </c>
      <c r="H32" s="24">
        <f>SUMIFS(Journal!$D$4:$D$9283,Journal!$B$4:$B$9283,H$8,Journal!$C$4:$C$9283,$B31)</f>
        <v>0</v>
      </c>
      <c r="I32" s="24">
        <f>SUMIFS(Journal!$D$4:$D$9283,Journal!$B$4:$B$9283,I$8,Journal!$C$4:$C$9283,$B31)</f>
        <v>0</v>
      </c>
      <c r="J32" s="24">
        <f>SUMIFS(Journal!$D$4:$D$9283,Journal!$B$4:$B$9283,J$8,Journal!$C$4:$C$9283,$B31)</f>
        <v>0</v>
      </c>
      <c r="K32" s="24">
        <f>SUMIFS(Journal!$D$4:$D$9283,Journal!$B$4:$B$9283,K$8,Journal!$C$4:$C$9283,$B31)</f>
        <v>0</v>
      </c>
      <c r="L32" s="24">
        <f>SUMIFS(Journal!$D$4:$D$9283,Journal!$B$4:$B$9283,L$8,Journal!$C$4:$C$9283,$B31)</f>
        <v>0</v>
      </c>
      <c r="M32" s="24">
        <f>SUMIFS(Journal!$D$4:$D$9283,Journal!$B$4:$B$9283,M$8,Journal!$C$4:$C$9283,$B31)</f>
        <v>0</v>
      </c>
      <c r="N32" s="24">
        <f>SUMIFS(Journal!$D$4:$D$9283,Journal!$B$4:$B$9283,N$8,Journal!$C$4:$C$9283,$B31)</f>
        <v>0</v>
      </c>
      <c r="O32" s="24">
        <f>SUMIFS(Journal!$D$4:$D$9283,Journal!$B$4:$B$9283,O$8,Journal!$C$4:$C$9283,$B31)</f>
        <v>0</v>
      </c>
      <c r="P32" s="24">
        <f>SUMIFS(Journal!$D$4:$D$9283,Journal!$B$4:$B$9283,P$8,Journal!$C$4:$C$9283,$B31)</f>
        <v>0</v>
      </c>
      <c r="Q32" s="24">
        <f>SUMIFS(Journal!$D$4:$D$9283,Journal!$B$4:$B$9283,Q$8,Journal!$C$4:$C$9283,$B31)</f>
        <v>0</v>
      </c>
      <c r="R32" s="24">
        <f>SUMIFS(Journal!$D$4:$D$9283,Journal!$B$4:$B$9283,R$8,Journal!$C$4:$C$9283,$B31)</f>
        <v>0</v>
      </c>
      <c r="S32" s="24">
        <f>SUMIFS(Journal!$D$4:$D$9283,Journal!$B$4:$B$9283,S$8,Journal!$C$4:$C$9283,$B31)</f>
        <v>0</v>
      </c>
      <c r="T32" s="24">
        <f>SUMIFS(Journal!$D$4:$D$9283,Journal!$B$4:$B$9283,T$8,Journal!$C$4:$C$9283,$B31)</f>
        <v>0</v>
      </c>
      <c r="U32" s="20"/>
    </row>
    <row r="33" spans="1:21" ht="15" customHeight="1" x14ac:dyDescent="0.25">
      <c r="A33" s="41"/>
      <c r="B33" s="107" t="str">
        <f>Base!G13</f>
        <v>25 -</v>
      </c>
      <c r="C33" s="21" t="str">
        <f>A$5</f>
        <v>Prévu</v>
      </c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19"/>
    </row>
    <row r="34" spans="1:21" ht="15" customHeight="1" thickBot="1" x14ac:dyDescent="0.3">
      <c r="A34" s="41"/>
      <c r="B34" s="106"/>
      <c r="C34" s="23" t="str">
        <f>A$6</f>
        <v>Réalisé</v>
      </c>
      <c r="D34" s="24">
        <f>SUMIFS(Journal!$D$4:$D$9283,Journal!$B$4:$B$9283,D$8,Journal!$C$4:$C$9283,$B33)</f>
        <v>0</v>
      </c>
      <c r="E34" s="24">
        <f>SUMIFS(Journal!$D$4:$D$9283,Journal!$B$4:$B$9283,E$8,Journal!$C$4:$C$9283,$B33)</f>
        <v>0</v>
      </c>
      <c r="F34" s="24">
        <f>SUMIFS(Journal!$D$4:$D$9283,Journal!$B$4:$B$9283,F$8,Journal!$C$4:$C$9283,$B33)</f>
        <v>0</v>
      </c>
      <c r="G34" s="24">
        <f>SUMIFS(Journal!$D$4:$D$9283,Journal!$B$4:$B$9283,G$8,Journal!$C$4:$C$9283,$B33)</f>
        <v>0</v>
      </c>
      <c r="H34" s="24">
        <f>SUMIFS(Journal!$D$4:$D$9283,Journal!$B$4:$B$9283,H$8,Journal!$C$4:$C$9283,$B33)</f>
        <v>0</v>
      </c>
      <c r="I34" s="24">
        <f>SUMIFS(Journal!$D$4:$D$9283,Journal!$B$4:$B$9283,I$8,Journal!$C$4:$C$9283,$B33)</f>
        <v>0</v>
      </c>
      <c r="J34" s="24">
        <f>SUMIFS(Journal!$D$4:$D$9283,Journal!$B$4:$B$9283,J$8,Journal!$C$4:$C$9283,$B33)</f>
        <v>0</v>
      </c>
      <c r="K34" s="24">
        <f>SUMIFS(Journal!$D$4:$D$9283,Journal!$B$4:$B$9283,K$8,Journal!$C$4:$C$9283,$B33)</f>
        <v>0</v>
      </c>
      <c r="L34" s="24">
        <f>SUMIFS(Journal!$D$4:$D$9283,Journal!$B$4:$B$9283,L$8,Journal!$C$4:$C$9283,$B33)</f>
        <v>0</v>
      </c>
      <c r="M34" s="24">
        <f>SUMIFS(Journal!$D$4:$D$9283,Journal!$B$4:$B$9283,M$8,Journal!$C$4:$C$9283,$B33)</f>
        <v>0</v>
      </c>
      <c r="N34" s="24">
        <f>SUMIFS(Journal!$D$4:$D$9283,Journal!$B$4:$B$9283,N$8,Journal!$C$4:$C$9283,$B33)</f>
        <v>0</v>
      </c>
      <c r="O34" s="24">
        <f>SUMIFS(Journal!$D$4:$D$9283,Journal!$B$4:$B$9283,O$8,Journal!$C$4:$C$9283,$B33)</f>
        <v>0</v>
      </c>
      <c r="P34" s="24">
        <f>SUMIFS(Journal!$D$4:$D$9283,Journal!$B$4:$B$9283,P$8,Journal!$C$4:$C$9283,$B33)</f>
        <v>0</v>
      </c>
      <c r="Q34" s="24">
        <f>SUMIFS(Journal!$D$4:$D$9283,Journal!$B$4:$B$9283,Q$8,Journal!$C$4:$C$9283,$B33)</f>
        <v>0</v>
      </c>
      <c r="R34" s="24">
        <f>SUMIFS(Journal!$D$4:$D$9283,Journal!$B$4:$B$9283,R$8,Journal!$C$4:$C$9283,$B33)</f>
        <v>0</v>
      </c>
      <c r="S34" s="24">
        <f>SUMIFS(Journal!$D$4:$D$9283,Journal!$B$4:$B$9283,S$8,Journal!$C$4:$C$9283,$B33)</f>
        <v>0</v>
      </c>
      <c r="T34" s="24">
        <f>SUMIFS(Journal!$D$4:$D$9283,Journal!$B$4:$B$9283,T$8,Journal!$C$4:$C$9283,$B33)</f>
        <v>0</v>
      </c>
      <c r="U34" s="20"/>
    </row>
    <row r="35" spans="1:21" ht="15" customHeight="1" x14ac:dyDescent="0.25">
      <c r="A35" s="41"/>
      <c r="B35" s="107" t="str">
        <f>Base!G14</f>
        <v>26 -</v>
      </c>
      <c r="C35" s="21" t="str">
        <f>A$5</f>
        <v>Prévu</v>
      </c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19"/>
    </row>
    <row r="36" spans="1:21" ht="15" customHeight="1" thickBot="1" x14ac:dyDescent="0.3">
      <c r="A36" s="41"/>
      <c r="B36" s="108"/>
      <c r="C36" s="23" t="str">
        <f>A$6</f>
        <v>Réalisé</v>
      </c>
      <c r="D36" s="24">
        <f>SUMIFS(Journal!$D$4:$D$9283,Journal!$B$4:$B$9283,D$8,Journal!$C$4:$C$9283,$B35)</f>
        <v>0</v>
      </c>
      <c r="E36" s="24">
        <f>SUMIFS(Journal!$D$4:$D$9283,Journal!$B$4:$B$9283,E$8,Journal!$C$4:$C$9283,$B35)</f>
        <v>0</v>
      </c>
      <c r="F36" s="24">
        <f>SUMIFS(Journal!$D$4:$D$9283,Journal!$B$4:$B$9283,F$8,Journal!$C$4:$C$9283,$B35)</f>
        <v>0</v>
      </c>
      <c r="G36" s="24">
        <f>SUMIFS(Journal!$D$4:$D$9283,Journal!$B$4:$B$9283,G$8,Journal!$C$4:$C$9283,$B35)</f>
        <v>0</v>
      </c>
      <c r="H36" s="24">
        <f>SUMIFS(Journal!$D$4:$D$9283,Journal!$B$4:$B$9283,H$8,Journal!$C$4:$C$9283,$B35)</f>
        <v>0</v>
      </c>
      <c r="I36" s="24">
        <f>SUMIFS(Journal!$D$4:$D$9283,Journal!$B$4:$B$9283,I$8,Journal!$C$4:$C$9283,$B35)</f>
        <v>0</v>
      </c>
      <c r="J36" s="24">
        <f>SUMIFS(Journal!$D$4:$D$9283,Journal!$B$4:$B$9283,J$8,Journal!$C$4:$C$9283,$B35)</f>
        <v>0</v>
      </c>
      <c r="K36" s="24">
        <f>SUMIFS(Journal!$D$4:$D$9283,Journal!$B$4:$B$9283,K$8,Journal!$C$4:$C$9283,$B35)</f>
        <v>0</v>
      </c>
      <c r="L36" s="24">
        <f>SUMIFS(Journal!$D$4:$D$9283,Journal!$B$4:$B$9283,L$8,Journal!$C$4:$C$9283,$B35)</f>
        <v>0</v>
      </c>
      <c r="M36" s="24">
        <f>SUMIFS(Journal!$D$4:$D$9283,Journal!$B$4:$B$9283,M$8,Journal!$C$4:$C$9283,$B35)</f>
        <v>0</v>
      </c>
      <c r="N36" s="24">
        <f>SUMIFS(Journal!$D$4:$D$9283,Journal!$B$4:$B$9283,N$8,Journal!$C$4:$C$9283,$B35)</f>
        <v>0</v>
      </c>
      <c r="O36" s="24">
        <f>SUMIFS(Journal!$D$4:$D$9283,Journal!$B$4:$B$9283,O$8,Journal!$C$4:$C$9283,$B35)</f>
        <v>0</v>
      </c>
      <c r="P36" s="24">
        <f>SUMIFS(Journal!$D$4:$D$9283,Journal!$B$4:$B$9283,P$8,Journal!$C$4:$C$9283,$B35)</f>
        <v>0</v>
      </c>
      <c r="Q36" s="24">
        <f>SUMIFS(Journal!$D$4:$D$9283,Journal!$B$4:$B$9283,Q$8,Journal!$C$4:$C$9283,$B35)</f>
        <v>0</v>
      </c>
      <c r="R36" s="24">
        <f>SUMIFS(Journal!$D$4:$D$9283,Journal!$B$4:$B$9283,R$8,Journal!$C$4:$C$9283,$B35)</f>
        <v>0</v>
      </c>
      <c r="S36" s="24">
        <f>SUMIFS(Journal!$D$4:$D$9283,Journal!$B$4:$B$9283,S$8,Journal!$C$4:$C$9283,$B35)</f>
        <v>0</v>
      </c>
      <c r="T36" s="24">
        <f>SUMIFS(Journal!$D$4:$D$9283,Journal!$B$4:$B$9283,T$8,Journal!$C$4:$C$9283,$B35)</f>
        <v>0</v>
      </c>
      <c r="U36" s="20"/>
    </row>
    <row r="37" spans="1:21" ht="20.25" customHeight="1" x14ac:dyDescent="0.25">
      <c r="A37" s="113" t="str">
        <f>Base!F15</f>
        <v>3 Implémentation</v>
      </c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9">
        <f>SUMIF($C39:$C56,$C39,U39:U56)</f>
        <v>0</v>
      </c>
    </row>
    <row r="38" spans="1:21" ht="15" customHeight="1" thickBot="1" x14ac:dyDescent="0.3">
      <c r="A38" s="115"/>
      <c r="B38" s="116"/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20">
        <f>SUMIF($C39:$C56,$C40,U39:U56)</f>
        <v>0</v>
      </c>
    </row>
    <row r="39" spans="1:21" ht="15" customHeight="1" x14ac:dyDescent="0.25">
      <c r="A39" s="41"/>
      <c r="B39" s="50" t="str">
        <f>Base!G15</f>
        <v>31 Script création BDD</v>
      </c>
      <c r="C39" s="21" t="str">
        <f>A$5</f>
        <v>Prévu</v>
      </c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22" t="str">
        <f>IF(SUM(E39:T39)=0,"",SUM(E39:T39))</f>
        <v/>
      </c>
    </row>
    <row r="40" spans="1:21" ht="15" customHeight="1" thickBot="1" x14ac:dyDescent="0.3">
      <c r="A40" s="41"/>
      <c r="B40" s="30"/>
      <c r="C40" s="23" t="str">
        <f>A$6</f>
        <v>Réalisé</v>
      </c>
      <c r="D40" s="24">
        <f>SUMIFS(Journal!$D$4:$D$9283,Journal!$B$4:$B$9283,D$8,Journal!$C$4:$C$9283,$B39)</f>
        <v>0</v>
      </c>
      <c r="E40" s="24"/>
      <c r="F40" s="24">
        <f>SUMIFS(Journal!$D$4:$D$9283,Journal!$B$4:$B$9283,F$8,Journal!$C$4:$C$9283,$B39)</f>
        <v>0</v>
      </c>
      <c r="G40" s="24"/>
      <c r="H40" s="24">
        <f>SUMIFS(Journal!$D$4:$D$9283,Journal!$B$4:$B$9283,H$8,Journal!$C$4:$C$9283,$B39)</f>
        <v>0</v>
      </c>
      <c r="I40" s="24"/>
      <c r="J40" s="24">
        <f>SUMIFS(Journal!$D$4:$D$9283,Journal!$B$4:$B$9283,J$8,Journal!$C$4:$C$9283,$B39)</f>
        <v>0</v>
      </c>
      <c r="K40" s="24"/>
      <c r="L40" s="24">
        <f>SUMIFS(Journal!$D$4:$D$9283,Journal!$B$4:$B$9283,L$8,Journal!$C$4:$C$9283,$B39)</f>
        <v>0</v>
      </c>
      <c r="M40" s="24"/>
      <c r="N40" s="24">
        <f>SUMIFS(Journal!$D$4:$D$9283,Journal!$B$4:$B$9283,N$8,Journal!$C$4:$C$9283,$B39)</f>
        <v>0</v>
      </c>
      <c r="O40" s="24"/>
      <c r="P40" s="24">
        <f>SUMIFS(Journal!$D$4:$D$9283,Journal!$B$4:$B$9283,P$8,Journal!$C$4:$C$9283,$B39)</f>
        <v>0</v>
      </c>
      <c r="Q40" s="24"/>
      <c r="R40" s="24">
        <f>SUMIFS(Journal!$D$4:$D$9283,Journal!$B$4:$B$9283,R$8,Journal!$C$4:$C$9283,$B39)</f>
        <v>0</v>
      </c>
      <c r="S40" s="24"/>
      <c r="T40" s="24">
        <f>SUMIFS(Journal!$D$4:$D$9283,Journal!$B$4:$B$9283,T$8,Journal!$C$4:$C$9283,$B39)</f>
        <v>0</v>
      </c>
      <c r="U40" s="27" t="str">
        <f>IF(SUM(D40:T40)=0,"",SUM(D40:T40))</f>
        <v/>
      </c>
    </row>
    <row r="41" spans="1:21" ht="15" customHeight="1" x14ac:dyDescent="0.25">
      <c r="A41" s="41"/>
      <c r="B41" s="50" t="str">
        <f>Base!G16</f>
        <v>32 Script insertion données</v>
      </c>
      <c r="C41" s="21" t="str">
        <f>A$5</f>
        <v>Prévu</v>
      </c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22" t="str">
        <f>IF(SUM(E41:T41)=0,"",SUM(E41:T41))</f>
        <v/>
      </c>
    </row>
    <row r="42" spans="1:21" ht="15" customHeight="1" thickBot="1" x14ac:dyDescent="0.3">
      <c r="A42" s="41"/>
      <c r="B42" s="30"/>
      <c r="C42" s="23" t="str">
        <f>A$6</f>
        <v>Réalisé</v>
      </c>
      <c r="D42" s="24">
        <f>SUMIFS(Journal!$D$4:$D$9283,Journal!$B$4:$B$9283,D$8,Journal!$C$4:$C$9283,$B41)</f>
        <v>0</v>
      </c>
      <c r="E42" s="24"/>
      <c r="F42" s="24">
        <f>SUMIFS(Journal!$D$4:$D$9283,Journal!$B$4:$B$9283,F$8,Journal!$C$4:$C$9283,$B41)</f>
        <v>0</v>
      </c>
      <c r="G42" s="24"/>
      <c r="H42" s="24">
        <f>SUMIFS(Journal!$D$4:$D$9283,Journal!$B$4:$B$9283,H$8,Journal!$C$4:$C$9283,$B41)</f>
        <v>0</v>
      </c>
      <c r="I42" s="24"/>
      <c r="J42" s="24">
        <f>SUMIFS(Journal!$D$4:$D$9283,Journal!$B$4:$B$9283,J$8,Journal!$C$4:$C$9283,$B41)</f>
        <v>0</v>
      </c>
      <c r="K42" s="24"/>
      <c r="L42" s="24"/>
      <c r="M42" s="24"/>
      <c r="N42" s="24">
        <f>SUMIFS(Journal!$D$4:$D$9283,Journal!$B$4:$B$9283,N$8,Journal!$C$4:$C$9283,$B41)</f>
        <v>0</v>
      </c>
      <c r="O42" s="24"/>
      <c r="P42" s="24">
        <f>SUMIFS(Journal!$D$4:$D$9283,Journal!$B$4:$B$9283,P$8,Journal!$C$4:$C$9283,$B41)</f>
        <v>0</v>
      </c>
      <c r="Q42" s="24"/>
      <c r="R42" s="24">
        <f>SUMIFS(Journal!$D$4:$D$9283,Journal!$B$4:$B$9283,R$8,Journal!$C$4:$C$9283,$B41)</f>
        <v>0</v>
      </c>
      <c r="S42" s="24"/>
      <c r="T42" s="24">
        <f>SUMIFS(Journal!$D$4:$D$9283,Journal!$B$4:$B$9283,T$8,Journal!$C$4:$C$9283,$B41)</f>
        <v>0</v>
      </c>
      <c r="U42" s="27" t="str">
        <f t="shared" ref="U42:U56" si="2">IF(SUM(D42:T42)=0,"",SUM(D42:T42))</f>
        <v/>
      </c>
    </row>
    <row r="43" spans="1:21" ht="15" customHeight="1" x14ac:dyDescent="0.25">
      <c r="A43" s="41"/>
      <c r="B43" s="50" t="str">
        <f>Base!G17</f>
        <v>33  Connection à la BDD</v>
      </c>
      <c r="C43" s="21" t="str">
        <f>A$5</f>
        <v>Prévu</v>
      </c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22" t="str">
        <f t="shared" si="2"/>
        <v/>
      </c>
    </row>
    <row r="44" spans="1:21" ht="15" customHeight="1" thickBot="1" x14ac:dyDescent="0.3">
      <c r="A44" s="41"/>
      <c r="B44" s="30"/>
      <c r="C44" s="23" t="str">
        <f>A$6</f>
        <v>Réalisé</v>
      </c>
      <c r="D44" s="24">
        <f>SUMIFS(Journal!$D$4:$D$9283,Journal!$B$4:$B$9283,D$8,Journal!$C$4:$C$9283,$B43)</f>
        <v>0</v>
      </c>
      <c r="E44" s="24"/>
      <c r="F44" s="24">
        <f>SUMIFS(Journal!$D$4:$D$9283,Journal!$B$4:$B$9283,F$8,Journal!$C$4:$C$9283,$B43)</f>
        <v>0</v>
      </c>
      <c r="G44" s="24"/>
      <c r="H44" s="24">
        <f>SUMIFS(Journal!$D$4:$D$9283,Journal!$B$4:$B$9283,H$8,Journal!$C$4:$C$9283,$B43)</f>
        <v>0</v>
      </c>
      <c r="I44" s="24"/>
      <c r="J44" s="24">
        <f>SUMIFS(Journal!$D$4:$D$9283,Journal!$B$4:$B$9283,J$8,Journal!$C$4:$C$9283,$B43)</f>
        <v>0</v>
      </c>
      <c r="K44" s="24"/>
      <c r="L44" s="24"/>
      <c r="M44" s="24"/>
      <c r="N44" s="24"/>
      <c r="O44" s="24"/>
      <c r="P44" s="24">
        <f>SUMIFS(Journal!$D$4:$D$9283,Journal!$B$4:$B$9283,P$8,Journal!$C$4:$C$9283,$B43)</f>
        <v>0</v>
      </c>
      <c r="Q44" s="24"/>
      <c r="R44" s="24">
        <f>SUMIFS(Journal!$D$4:$D$9283,Journal!$B$4:$B$9283,R$8,Journal!$C$4:$C$9283,$B43)</f>
        <v>0</v>
      </c>
      <c r="S44" s="24"/>
      <c r="T44" s="24">
        <f>SUMIFS(Journal!$D$4:$D$9283,Journal!$B$4:$B$9283,T$8,Journal!$C$4:$C$9283,$B43)</f>
        <v>0</v>
      </c>
      <c r="U44" s="27" t="str">
        <f t="shared" si="2"/>
        <v/>
      </c>
    </row>
    <row r="45" spans="1:21" ht="15" customHeight="1" x14ac:dyDescent="0.25">
      <c r="A45" s="41"/>
      <c r="B45" s="50" t="str">
        <f>Base!G18</f>
        <v>34  Ajout au stock</v>
      </c>
      <c r="C45" s="21" t="str">
        <f>A$5</f>
        <v>Prévu</v>
      </c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22" t="str">
        <f t="shared" si="2"/>
        <v/>
      </c>
    </row>
    <row r="46" spans="1:21" ht="15" customHeight="1" thickBot="1" x14ac:dyDescent="0.3">
      <c r="A46" s="41"/>
      <c r="B46" s="30"/>
      <c r="C46" s="23" t="str">
        <f>A$6</f>
        <v>Réalisé</v>
      </c>
      <c r="D46" s="24">
        <f>SUMIFS(Journal!$D$4:$D$9283,Journal!$B$4:$B$9283,D$8,Journal!$C$4:$C$9283,$B45)</f>
        <v>0</v>
      </c>
      <c r="E46" s="24"/>
      <c r="F46" s="24">
        <f>SUMIFS(Journal!$D$4:$D$9283,Journal!$B$4:$B$9283,F$8,Journal!$C$4:$C$9283,$B45)</f>
        <v>0</v>
      </c>
      <c r="G46" s="24"/>
      <c r="H46" s="24">
        <f>SUMIFS(Journal!$D$4:$D$9283,Journal!$B$4:$B$9283,H$8,Journal!$C$4:$C$9283,$B45)</f>
        <v>0</v>
      </c>
      <c r="I46" s="24"/>
      <c r="J46" s="24">
        <f>SUMIFS(Journal!$D$4:$D$9283,Journal!$B$4:$B$9283,J$8,Journal!$C$4:$C$9283,$B45)</f>
        <v>0</v>
      </c>
      <c r="K46" s="24"/>
      <c r="L46" s="24">
        <f>SUMIFS(Journal!$D$4:$D$9283,Journal!$B$4:$B$9283,L$8,Journal!$C$4:$C$9283,$B45)</f>
        <v>0</v>
      </c>
      <c r="M46" s="24"/>
      <c r="N46" s="24">
        <f>SUMIFS(Journal!$D$4:$D$9283,Journal!$B$4:$B$9283,N$8,Journal!$C$4:$C$9283,$B45)</f>
        <v>0</v>
      </c>
      <c r="O46" s="24"/>
      <c r="P46" s="24">
        <f>SUMIFS(Journal!$D$4:$D$9283,Journal!$B$4:$B$9283,P$8,Journal!$C$4:$C$9283,$B45)</f>
        <v>0</v>
      </c>
      <c r="Q46" s="24"/>
      <c r="R46" s="24">
        <f>SUMIFS(Journal!$D$4:$D$9283,Journal!$B$4:$B$9283,R$8,Journal!$C$4:$C$9283,$B45)</f>
        <v>0</v>
      </c>
      <c r="S46" s="24"/>
      <c r="T46" s="24">
        <f>SUMIFS(Journal!$D$4:$D$9283,Journal!$B$4:$B$9283,T$8,Journal!$C$4:$C$9283,$B45)</f>
        <v>0</v>
      </c>
      <c r="U46" s="27" t="str">
        <f t="shared" si="2"/>
        <v/>
      </c>
    </row>
    <row r="47" spans="1:21" ht="15" customHeight="1" x14ac:dyDescent="0.25">
      <c r="A47" s="41"/>
      <c r="B47" s="50" t="str">
        <f>Base!G19</f>
        <v>35  Retrait du stock</v>
      </c>
      <c r="C47" s="21" t="str">
        <f>A$5</f>
        <v>Prévu</v>
      </c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22" t="str">
        <f t="shared" si="2"/>
        <v/>
      </c>
    </row>
    <row r="48" spans="1:21" ht="15" customHeight="1" thickBot="1" x14ac:dyDescent="0.3">
      <c r="A48" s="41"/>
      <c r="B48" s="30"/>
      <c r="C48" s="23" t="str">
        <f>A$6</f>
        <v>Réalisé</v>
      </c>
      <c r="D48" s="24">
        <f>SUMIFS(Journal!$D$4:$D$9283,Journal!$B$4:$B$9283,D$8,Journal!$C$4:$C$9283,$B47)</f>
        <v>0</v>
      </c>
      <c r="E48" s="24">
        <f>SUMIFS(Journal!$D$4:$D$9283,Journal!$B$4:$B$9283,E$8,Journal!$C$4:$C$9283,$B47)</f>
        <v>0</v>
      </c>
      <c r="F48" s="24">
        <f>SUMIFS(Journal!$D$4:$D$9283,Journal!$B$4:$B$9283,F$8,Journal!$C$4:$C$9283,$B47)</f>
        <v>0</v>
      </c>
      <c r="G48" s="24">
        <f>SUMIFS(Journal!$D$4:$D$9283,Journal!$B$4:$B$9283,G$8,Journal!$C$4:$C$9283,$B47)</f>
        <v>0</v>
      </c>
      <c r="H48" s="24">
        <f>SUMIFS(Journal!$D$4:$D$9283,Journal!$B$4:$B$9283,H$8,Journal!$C$4:$C$9283,$B47)</f>
        <v>0</v>
      </c>
      <c r="I48" s="24">
        <f>SUMIFS(Journal!$D$4:$D$9283,Journal!$B$4:$B$9283,I$8,Journal!$C$4:$C$9283,$B47)</f>
        <v>0</v>
      </c>
      <c r="J48" s="24">
        <f>SUMIFS(Journal!$D$4:$D$9283,Journal!$B$4:$B$9283,J$8,Journal!$C$4:$C$9283,$B47)</f>
        <v>0</v>
      </c>
      <c r="K48" s="24">
        <f>SUMIFS(Journal!$D$4:$D$9283,Journal!$B$4:$B$9283,K$8,Journal!$C$4:$C$9283,$B47)</f>
        <v>0</v>
      </c>
      <c r="L48" s="24">
        <f>SUMIFS(Journal!$D$4:$D$9283,Journal!$B$4:$B$9283,L$8,Journal!$C$4:$C$9283,$B47)</f>
        <v>0</v>
      </c>
      <c r="M48" s="24">
        <f>SUMIFS(Journal!$D$4:$D$9283,Journal!$B$4:$B$9283,M$8,Journal!$C$4:$C$9283,$B47)</f>
        <v>0</v>
      </c>
      <c r="N48" s="24">
        <f>SUMIFS(Journal!$D$4:$D$9283,Journal!$B$4:$B$9283,N$8,Journal!$C$4:$C$9283,$B47)</f>
        <v>0</v>
      </c>
      <c r="O48" s="24">
        <f>SUMIFS(Journal!$D$4:$D$9283,Journal!$B$4:$B$9283,O$8,Journal!$C$4:$C$9283,$B47)</f>
        <v>0</v>
      </c>
      <c r="P48" s="24">
        <f>SUMIFS(Journal!$D$4:$D$9283,Journal!$B$4:$B$9283,P$8,Journal!$C$4:$C$9283,$B47)</f>
        <v>0</v>
      </c>
      <c r="Q48" s="24">
        <f>SUMIFS(Journal!$D$4:$D$9283,Journal!$B$4:$B$9283,Q$8,Journal!$C$4:$C$9283,$B47)</f>
        <v>0</v>
      </c>
      <c r="R48" s="24">
        <f>SUMIFS(Journal!$D$4:$D$9283,Journal!$B$4:$B$9283,R$8,Journal!$C$4:$C$9283,$B47)</f>
        <v>0</v>
      </c>
      <c r="S48" s="24">
        <f>SUMIFS(Journal!$D$4:$D$9283,Journal!$B$4:$B$9283,S$8,Journal!$C$4:$C$9283,$B47)</f>
        <v>0</v>
      </c>
      <c r="T48" s="24">
        <f>SUMIFS(Journal!$D$4:$D$9283,Journal!$B$4:$B$9283,T$8,Journal!$C$4:$C$9283,$B47)</f>
        <v>0</v>
      </c>
      <c r="U48" s="27" t="str">
        <f t="shared" si="2"/>
        <v/>
      </c>
    </row>
    <row r="49" spans="1:21" ht="15" customHeight="1" x14ac:dyDescent="0.25">
      <c r="A49" s="41"/>
      <c r="B49" s="50" t="str">
        <f>Base!G20</f>
        <v>36 Génération de pdf</v>
      </c>
      <c r="C49" s="21" t="str">
        <f>A$5</f>
        <v>Prévu</v>
      </c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22" t="str">
        <f t="shared" ref="U49:U51" si="3">IF(SUM(D49:T49)=0,"",SUM(D49:T49))</f>
        <v/>
      </c>
    </row>
    <row r="50" spans="1:21" ht="15" customHeight="1" thickBot="1" x14ac:dyDescent="0.3">
      <c r="A50" s="41"/>
      <c r="B50" s="30"/>
      <c r="C50" s="23" t="str">
        <f>A$6</f>
        <v>Réalisé</v>
      </c>
      <c r="D50" s="24">
        <f>SUMIFS(Journal!$D$4:$D$9283,Journal!$B$4:$B$9283,D$8,Journal!$C$4:$C$9283,$B49)</f>
        <v>0</v>
      </c>
      <c r="E50" s="24">
        <f>SUMIFS(Journal!$D$4:$D$9283,Journal!$B$4:$B$9283,E$8,Journal!$C$4:$C$9283,$B49)</f>
        <v>0</v>
      </c>
      <c r="F50" s="24">
        <f>SUMIFS(Journal!$D$4:$D$9283,Journal!$B$4:$B$9283,F$8,Journal!$C$4:$C$9283,$B49)</f>
        <v>0</v>
      </c>
      <c r="G50" s="24">
        <f>SUMIFS(Journal!$D$4:$D$9283,Journal!$B$4:$B$9283,G$8,Journal!$C$4:$C$9283,$B49)</f>
        <v>0</v>
      </c>
      <c r="H50" s="24">
        <f>SUMIFS(Journal!$D$4:$D$9283,Journal!$B$4:$B$9283,H$8,Journal!$C$4:$C$9283,$B49)</f>
        <v>0</v>
      </c>
      <c r="I50" s="24">
        <f>SUMIFS(Journal!$D$4:$D$9283,Journal!$B$4:$B$9283,I$8,Journal!$C$4:$C$9283,$B49)</f>
        <v>0</v>
      </c>
      <c r="J50" s="24">
        <f>SUMIFS(Journal!$D$4:$D$9283,Journal!$B$4:$B$9283,J$8,Journal!$C$4:$C$9283,$B49)</f>
        <v>0</v>
      </c>
      <c r="K50" s="24">
        <f>SUMIFS(Journal!$D$4:$D$9283,Journal!$B$4:$B$9283,K$8,Journal!$C$4:$C$9283,$B49)</f>
        <v>0</v>
      </c>
      <c r="L50" s="24">
        <f>SUMIFS(Journal!$D$4:$D$9283,Journal!$B$4:$B$9283,L$8,Journal!$C$4:$C$9283,$B49)</f>
        <v>0</v>
      </c>
      <c r="M50" s="24">
        <f>SUMIFS(Journal!$D$4:$D$9283,Journal!$B$4:$B$9283,M$8,Journal!$C$4:$C$9283,$B49)</f>
        <v>0</v>
      </c>
      <c r="N50" s="24">
        <f>SUMIFS(Journal!$D$4:$D$9283,Journal!$B$4:$B$9283,N$8,Journal!$C$4:$C$9283,$B49)</f>
        <v>0</v>
      </c>
      <c r="O50" s="24">
        <f>SUMIFS(Journal!$D$4:$D$9283,Journal!$B$4:$B$9283,O$8,Journal!$C$4:$C$9283,$B49)</f>
        <v>0</v>
      </c>
      <c r="P50" s="24">
        <f>SUMIFS(Journal!$D$4:$D$9283,Journal!$B$4:$B$9283,P$8,Journal!$C$4:$C$9283,$B49)</f>
        <v>0</v>
      </c>
      <c r="Q50" s="24">
        <f>SUMIFS(Journal!$D$4:$D$9283,Journal!$B$4:$B$9283,Q$8,Journal!$C$4:$C$9283,$B49)</f>
        <v>0</v>
      </c>
      <c r="R50" s="24">
        <f>SUMIFS(Journal!$D$4:$D$9283,Journal!$B$4:$B$9283,R$8,Journal!$C$4:$C$9283,$B49)</f>
        <v>0</v>
      </c>
      <c r="S50" s="24">
        <f>SUMIFS(Journal!$D$4:$D$9283,Journal!$B$4:$B$9283,S$8,Journal!$C$4:$C$9283,$B49)</f>
        <v>0</v>
      </c>
      <c r="T50" s="24">
        <f>SUMIFS(Journal!$D$4:$D$9283,Journal!$B$4:$B$9283,T$8,Journal!$C$4:$C$9283,$B49)</f>
        <v>0</v>
      </c>
      <c r="U50" s="27" t="str">
        <f t="shared" si="3"/>
        <v/>
      </c>
    </row>
    <row r="51" spans="1:21" ht="15" customHeight="1" x14ac:dyDescent="0.25">
      <c r="A51" s="41"/>
      <c r="B51" s="50" t="str">
        <f>Base!G21</f>
        <v>37 Fonction recherche : mot-clé</v>
      </c>
      <c r="C51" s="21" t="str">
        <f>A$5</f>
        <v>Prévu</v>
      </c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22" t="str">
        <f t="shared" si="3"/>
        <v/>
      </c>
    </row>
    <row r="52" spans="1:21" ht="15" customHeight="1" thickBot="1" x14ac:dyDescent="0.3">
      <c r="A52" s="41"/>
      <c r="B52" s="30"/>
      <c r="C52" s="23" t="str">
        <f>A$6</f>
        <v>Réalisé</v>
      </c>
      <c r="D52" s="24">
        <f>SUMIFS(Journal!$D$4:$D$9283,Journal!$B$4:$B$9283,D$8,Journal!$C$4:$C$9283,$B51)</f>
        <v>0</v>
      </c>
      <c r="E52" s="24">
        <f>SUMIFS(Journal!$D$4:$D$9283,Journal!$B$4:$B$9283,E$8,Journal!$C$4:$C$9283,$B51)</f>
        <v>0</v>
      </c>
      <c r="F52" s="24">
        <f>SUMIFS(Journal!$D$4:$D$9283,Journal!$B$4:$B$9283,F$8,Journal!$C$4:$C$9283,$B51)</f>
        <v>0</v>
      </c>
      <c r="G52" s="24">
        <f>SUMIFS(Journal!$D$4:$D$9283,Journal!$B$4:$B$9283,G$8,Journal!$C$4:$C$9283,$B51)</f>
        <v>0</v>
      </c>
      <c r="H52" s="24">
        <f>SUMIFS(Journal!$D$4:$D$9283,Journal!$B$4:$B$9283,H$8,Journal!$C$4:$C$9283,$B51)</f>
        <v>0</v>
      </c>
      <c r="I52" s="24">
        <f>SUMIFS(Journal!$D$4:$D$9283,Journal!$B$4:$B$9283,I$8,Journal!$C$4:$C$9283,$B51)</f>
        <v>0</v>
      </c>
      <c r="J52" s="24">
        <f>SUMIFS(Journal!$D$4:$D$9283,Journal!$B$4:$B$9283,J$8,Journal!$C$4:$C$9283,$B51)</f>
        <v>0</v>
      </c>
      <c r="K52" s="24">
        <f>SUMIFS(Journal!$D$4:$D$9283,Journal!$B$4:$B$9283,K$8,Journal!$C$4:$C$9283,$B51)</f>
        <v>0</v>
      </c>
      <c r="L52" s="24">
        <f>SUMIFS(Journal!$D$4:$D$9283,Journal!$B$4:$B$9283,L$8,Journal!$C$4:$C$9283,$B51)</f>
        <v>0</v>
      </c>
      <c r="M52" s="24">
        <f>SUMIFS(Journal!$D$4:$D$9283,Journal!$B$4:$B$9283,M$8,Journal!$C$4:$C$9283,$B51)</f>
        <v>0</v>
      </c>
      <c r="N52" s="24">
        <f>SUMIFS(Journal!$D$4:$D$9283,Journal!$B$4:$B$9283,N$8,Journal!$C$4:$C$9283,$B51)</f>
        <v>0</v>
      </c>
      <c r="O52" s="24">
        <f>SUMIFS(Journal!$D$4:$D$9283,Journal!$B$4:$B$9283,O$8,Journal!$C$4:$C$9283,$B51)</f>
        <v>0</v>
      </c>
      <c r="P52" s="24">
        <f>SUMIFS(Journal!$D$4:$D$9283,Journal!$B$4:$B$9283,P$8,Journal!$C$4:$C$9283,$B51)</f>
        <v>0</v>
      </c>
      <c r="Q52" s="24">
        <f>SUMIFS(Journal!$D$4:$D$9283,Journal!$B$4:$B$9283,Q$8,Journal!$C$4:$C$9283,$B51)</f>
        <v>0</v>
      </c>
      <c r="R52" s="24">
        <f>SUMIFS(Journal!$D$4:$D$9283,Journal!$B$4:$B$9283,R$8,Journal!$C$4:$C$9283,$B51)</f>
        <v>0</v>
      </c>
      <c r="S52" s="24">
        <f>SUMIFS(Journal!$D$4:$D$9283,Journal!$B$4:$B$9283,S$8,Journal!$C$4:$C$9283,$B51)</f>
        <v>0</v>
      </c>
      <c r="T52" s="24">
        <f>SUMIFS(Journal!$D$4:$D$9283,Journal!$B$4:$B$9283,T$8,Journal!$C$4:$C$9283,$B51)</f>
        <v>0</v>
      </c>
      <c r="U52" s="27" t="str">
        <f t="shared" si="2"/>
        <v/>
      </c>
    </row>
    <row r="53" spans="1:21" ht="15" customHeight="1" x14ac:dyDescent="0.25">
      <c r="A53" s="41"/>
      <c r="B53" s="50" t="str">
        <f>Base!G22</f>
        <v>38 Historique de location</v>
      </c>
      <c r="C53" s="21" t="str">
        <f>A$5</f>
        <v>Prévu</v>
      </c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22" t="str">
        <f t="shared" ref="U53:U54" si="4">IF(SUM(D53:T53)=0,"",SUM(D53:T53))</f>
        <v/>
      </c>
    </row>
    <row r="54" spans="1:21" ht="15" customHeight="1" thickBot="1" x14ac:dyDescent="0.3">
      <c r="A54" s="41"/>
      <c r="B54" s="30"/>
      <c r="C54" s="23" t="str">
        <f>A$6</f>
        <v>Réalisé</v>
      </c>
      <c r="D54" s="24">
        <f>SUMIFS(Journal!$D$4:$D$9283,Journal!$B$4:$B$9283,D$8,Journal!$C$4:$C$9283,$B53)</f>
        <v>0</v>
      </c>
      <c r="E54" s="24">
        <f>SUMIFS(Journal!$D$4:$D$9283,Journal!$B$4:$B$9283,E$8,Journal!$C$4:$C$9283,$B53)</f>
        <v>0</v>
      </c>
      <c r="F54" s="24">
        <f>SUMIFS(Journal!$D$4:$D$9283,Journal!$B$4:$B$9283,F$8,Journal!$C$4:$C$9283,$B53)</f>
        <v>0</v>
      </c>
      <c r="G54" s="24">
        <f>SUMIFS(Journal!$D$4:$D$9283,Journal!$B$4:$B$9283,G$8,Journal!$C$4:$C$9283,$B53)</f>
        <v>0</v>
      </c>
      <c r="H54" s="24">
        <f>SUMIFS(Journal!$D$4:$D$9283,Journal!$B$4:$B$9283,H$8,Journal!$C$4:$C$9283,$B53)</f>
        <v>0</v>
      </c>
      <c r="I54" s="24">
        <f>SUMIFS(Journal!$D$4:$D$9283,Journal!$B$4:$B$9283,I$8,Journal!$C$4:$C$9283,$B53)</f>
        <v>0</v>
      </c>
      <c r="J54" s="24">
        <f>SUMIFS(Journal!$D$4:$D$9283,Journal!$B$4:$B$9283,J$8,Journal!$C$4:$C$9283,$B53)</f>
        <v>0</v>
      </c>
      <c r="K54" s="24">
        <f>SUMIFS(Journal!$D$4:$D$9283,Journal!$B$4:$B$9283,K$8,Journal!$C$4:$C$9283,$B53)</f>
        <v>0</v>
      </c>
      <c r="L54" s="24">
        <f>SUMIFS(Journal!$D$4:$D$9283,Journal!$B$4:$B$9283,L$8,Journal!$C$4:$C$9283,$B53)</f>
        <v>0</v>
      </c>
      <c r="M54" s="24">
        <f>SUMIFS(Journal!$D$4:$D$9283,Journal!$B$4:$B$9283,M$8,Journal!$C$4:$C$9283,$B53)</f>
        <v>0</v>
      </c>
      <c r="N54" s="24">
        <f>SUMIFS(Journal!$D$4:$D$9283,Journal!$B$4:$B$9283,N$8,Journal!$C$4:$C$9283,$B53)</f>
        <v>0</v>
      </c>
      <c r="O54" s="24">
        <f>SUMIFS(Journal!$D$4:$D$9283,Journal!$B$4:$B$9283,O$8,Journal!$C$4:$C$9283,$B53)</f>
        <v>0</v>
      </c>
      <c r="P54" s="24">
        <f>SUMIFS(Journal!$D$4:$D$9283,Journal!$B$4:$B$9283,P$8,Journal!$C$4:$C$9283,$B53)</f>
        <v>0</v>
      </c>
      <c r="Q54" s="24">
        <f>SUMIFS(Journal!$D$4:$D$9283,Journal!$B$4:$B$9283,Q$8,Journal!$C$4:$C$9283,$B53)</f>
        <v>0</v>
      </c>
      <c r="R54" s="24">
        <f>SUMIFS(Journal!$D$4:$D$9283,Journal!$B$4:$B$9283,R$8,Journal!$C$4:$C$9283,$B53)</f>
        <v>0</v>
      </c>
      <c r="S54" s="24">
        <f>SUMIFS(Journal!$D$4:$D$9283,Journal!$B$4:$B$9283,S$8,Journal!$C$4:$C$9283,$B53)</f>
        <v>0</v>
      </c>
      <c r="T54" s="24">
        <f>SUMIFS(Journal!$D$4:$D$9283,Journal!$B$4:$B$9283,T$8,Journal!$C$4:$C$9283,$B53)</f>
        <v>0</v>
      </c>
      <c r="U54" s="27" t="str">
        <f t="shared" si="4"/>
        <v/>
      </c>
    </row>
    <row r="55" spans="1:21" ht="15" customHeight="1" x14ac:dyDescent="0.25">
      <c r="A55" s="41"/>
      <c r="B55" s="50" t="str">
        <f>Base!G23</f>
        <v>39 Consultation : délai dépassé</v>
      </c>
      <c r="C55" s="21" t="str">
        <f>A$5</f>
        <v>Prévu</v>
      </c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22" t="str">
        <f t="shared" si="2"/>
        <v/>
      </c>
    </row>
    <row r="56" spans="1:21" ht="15" customHeight="1" thickBot="1" x14ac:dyDescent="0.3">
      <c r="A56" s="41"/>
      <c r="B56" s="30"/>
      <c r="C56" s="23" t="str">
        <f>A$6</f>
        <v>Réalisé</v>
      </c>
      <c r="D56" s="24">
        <f>SUMIFS(Journal!$D$4:$D$9283,Journal!$B$4:$B$9283,D$8,Journal!$C$4:$C$9283,$B55)</f>
        <v>0</v>
      </c>
      <c r="E56" s="24">
        <f>SUMIFS(Journal!$D$4:$D$9283,Journal!$B$4:$B$9283,E$8,Journal!$C$4:$C$9283,$B55)</f>
        <v>0</v>
      </c>
      <c r="F56" s="24">
        <f>SUMIFS(Journal!$D$4:$D$9283,Journal!$B$4:$B$9283,F$8,Journal!$C$4:$C$9283,$B55)</f>
        <v>0</v>
      </c>
      <c r="G56" s="24">
        <f>SUMIFS(Journal!$D$4:$D$9283,Journal!$B$4:$B$9283,G$8,Journal!$C$4:$C$9283,$B55)</f>
        <v>0</v>
      </c>
      <c r="H56" s="24">
        <f>SUMIFS(Journal!$D$4:$D$9283,Journal!$B$4:$B$9283,H$8,Journal!$C$4:$C$9283,$B55)</f>
        <v>0</v>
      </c>
      <c r="I56" s="24">
        <f>SUMIFS(Journal!$D$4:$D$9283,Journal!$B$4:$B$9283,I$8,Journal!$C$4:$C$9283,$B55)</f>
        <v>0</v>
      </c>
      <c r="J56" s="24">
        <f>SUMIFS(Journal!$D$4:$D$9283,Journal!$B$4:$B$9283,J$8,Journal!$C$4:$C$9283,$B55)</f>
        <v>0</v>
      </c>
      <c r="K56" s="24">
        <f>SUMIFS(Journal!$D$4:$D$9283,Journal!$B$4:$B$9283,K$8,Journal!$C$4:$C$9283,$B55)</f>
        <v>0</v>
      </c>
      <c r="L56" s="24">
        <f>SUMIFS(Journal!$D$4:$D$9283,Journal!$B$4:$B$9283,L$8,Journal!$C$4:$C$9283,$B55)</f>
        <v>0</v>
      </c>
      <c r="M56" s="24">
        <f>SUMIFS(Journal!$D$4:$D$9283,Journal!$B$4:$B$9283,M$8,Journal!$C$4:$C$9283,$B55)</f>
        <v>0</v>
      </c>
      <c r="N56" s="24">
        <f>SUMIFS(Journal!$D$4:$D$9283,Journal!$B$4:$B$9283,N$8,Journal!$C$4:$C$9283,$B55)</f>
        <v>0</v>
      </c>
      <c r="O56" s="24">
        <f>SUMIFS(Journal!$D$4:$D$9283,Journal!$B$4:$B$9283,O$8,Journal!$C$4:$C$9283,$B55)</f>
        <v>0</v>
      </c>
      <c r="P56" s="24">
        <f>SUMIFS(Journal!$D$4:$D$9283,Journal!$B$4:$B$9283,P$8,Journal!$C$4:$C$9283,$B55)</f>
        <v>0</v>
      </c>
      <c r="Q56" s="24">
        <f>SUMIFS(Journal!$D$4:$D$9283,Journal!$B$4:$B$9283,Q$8,Journal!$C$4:$C$9283,$B55)</f>
        <v>0</v>
      </c>
      <c r="R56" s="24">
        <f>SUMIFS(Journal!$D$4:$D$9283,Journal!$B$4:$B$9283,R$8,Journal!$C$4:$C$9283,$B55)</f>
        <v>0</v>
      </c>
      <c r="S56" s="24">
        <f>SUMIFS(Journal!$D$4:$D$9283,Journal!$B$4:$B$9283,S$8,Journal!$C$4:$C$9283,$B55)</f>
        <v>0</v>
      </c>
      <c r="T56" s="24">
        <f>SUMIFS(Journal!$D$4:$D$9283,Journal!$B$4:$B$9283,T$8,Journal!$C$4:$C$9283,$B55)</f>
        <v>0</v>
      </c>
      <c r="U56" s="27" t="str">
        <f t="shared" si="2"/>
        <v/>
      </c>
    </row>
    <row r="57" spans="1:21" ht="20.25" customHeight="1" x14ac:dyDescent="0.25">
      <c r="A57" s="93" t="str">
        <f>Base!F24</f>
        <v>4 Tests</v>
      </c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19">
        <f>SUMIF($C59:$C70,$C59,U59:U70)</f>
        <v>0</v>
      </c>
    </row>
    <row r="58" spans="1:21" ht="15" customHeight="1" thickBot="1" x14ac:dyDescent="0.3">
      <c r="A58" s="95"/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20">
        <f>SUMIF($C59:$C70,$C60,U59:U70)</f>
        <v>0</v>
      </c>
    </row>
    <row r="59" spans="1:21" s="29" customFormat="1" ht="15" customHeight="1" x14ac:dyDescent="0.25">
      <c r="A59" s="42"/>
      <c r="B59" s="50" t="str">
        <f>Base!G15</f>
        <v>31 Script création BDD</v>
      </c>
      <c r="C59" s="21" t="str">
        <f>A$5</f>
        <v>Prévu</v>
      </c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22" t="str">
        <f t="shared" ref="U59:U70" si="5">IF(SUM(D59:T59)=0,"",SUM(D59:T59))</f>
        <v/>
      </c>
    </row>
    <row r="60" spans="1:21" s="29" customFormat="1" ht="15" customHeight="1" thickBot="1" x14ac:dyDescent="0.3">
      <c r="A60" s="42"/>
      <c r="B60" s="30"/>
      <c r="C60" s="23" t="str">
        <f>A$6</f>
        <v>Réalisé</v>
      </c>
      <c r="D60" s="24">
        <f>SUMIFS(Journal!$D$4:$D$9283,Journal!$B$4:$B$9283,D$8,Journal!$C$4:$C$9283,$B59)</f>
        <v>0</v>
      </c>
      <c r="E60" s="24"/>
      <c r="F60" s="24">
        <f>SUMIFS(Journal!$D$4:$D$9283,Journal!$B$4:$B$9283,F$8,Journal!$C$4:$C$9283,$B59)</f>
        <v>0</v>
      </c>
      <c r="G60" s="24"/>
      <c r="H60" s="24">
        <f>SUMIFS(Journal!$D$4:$D$9283,Journal!$B$4:$B$9283,H$8,Journal!$C$4:$C$9283,$B59)</f>
        <v>0</v>
      </c>
      <c r="I60" s="24"/>
      <c r="J60" s="24">
        <f>SUMIFS(Journal!$D$4:$D$9283,Journal!$B$4:$B$9283,J$8,Journal!$C$4:$C$9283,$B59)</f>
        <v>0</v>
      </c>
      <c r="K60" s="24"/>
      <c r="L60" s="24">
        <f>SUMIFS(Journal!$D$4:$D$9283,Journal!$B$4:$B$9283,L$8,Journal!$C$4:$C$9283,$B59)</f>
        <v>0</v>
      </c>
      <c r="M60" s="24"/>
      <c r="N60" s="24">
        <f>SUMIFS(Journal!$D$4:$D$9283,Journal!$B$4:$B$9283,N$8,Journal!$C$4:$C$9283,$B59)</f>
        <v>0</v>
      </c>
      <c r="O60" s="24"/>
      <c r="P60" s="24">
        <f>SUMIFS(Journal!$D$4:$D$9283,Journal!$B$4:$B$9283,P$8,Journal!$C$4:$C$9283,$B59)</f>
        <v>0</v>
      </c>
      <c r="Q60" s="24"/>
      <c r="R60" s="24">
        <f>SUMIFS(Journal!$D$4:$D$9283,Journal!$B$4:$B$9283,R$8,Journal!$C$4:$C$9283,$B59)</f>
        <v>0</v>
      </c>
      <c r="S60" s="24"/>
      <c r="T60" s="24">
        <f>SUMIFS(Journal!$D$4:$D$9283,Journal!$B$4:$B$9283,T$8,Journal!$C$4:$C$9283,$B59)</f>
        <v>0</v>
      </c>
      <c r="U60" s="27" t="str">
        <f t="shared" si="5"/>
        <v/>
      </c>
    </row>
    <row r="61" spans="1:21" ht="15" customHeight="1" x14ac:dyDescent="0.25">
      <c r="A61" s="41"/>
      <c r="B61" s="50" t="str">
        <f>Base!G16</f>
        <v>32 Script insertion données</v>
      </c>
      <c r="C61" s="21" t="str">
        <f>A$5</f>
        <v>Prévu</v>
      </c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22" t="str">
        <f t="shared" si="5"/>
        <v/>
      </c>
    </row>
    <row r="62" spans="1:21" ht="15" customHeight="1" thickBot="1" x14ac:dyDescent="0.3">
      <c r="A62" s="41"/>
      <c r="B62" s="30"/>
      <c r="C62" s="23" t="str">
        <f>A$6</f>
        <v>Réalisé</v>
      </c>
      <c r="D62" s="24">
        <f>SUMIFS(Journal!$D$4:$D$9283,Journal!$B$4:$B$9283,D$8,Journal!$C$4:$C$9283,$B61)</f>
        <v>0</v>
      </c>
      <c r="E62" s="24"/>
      <c r="F62" s="24">
        <f>SUMIFS(Journal!$D$4:$D$9283,Journal!$B$4:$B$9283,F$8,Journal!$C$4:$C$9283,$B61)</f>
        <v>0</v>
      </c>
      <c r="G62" s="24"/>
      <c r="H62" s="24">
        <f>SUMIFS(Journal!$D$4:$D$9283,Journal!$B$4:$B$9283,H$8,Journal!$C$4:$C$9283,$B61)</f>
        <v>0</v>
      </c>
      <c r="I62" s="24"/>
      <c r="J62" s="24">
        <f>SUMIFS(Journal!$D$4:$D$9283,Journal!$B$4:$B$9283,J$8,Journal!$C$4:$C$9283,$B61)</f>
        <v>0</v>
      </c>
      <c r="K62" s="24"/>
      <c r="L62" s="24">
        <f>SUMIFS(Journal!$D$4:$D$9283,Journal!$B$4:$B$9283,L$8,Journal!$C$4:$C$9283,$B61)</f>
        <v>0</v>
      </c>
      <c r="M62" s="24"/>
      <c r="N62" s="24">
        <f>SUMIFS(Journal!$D$4:$D$9283,Journal!$B$4:$B$9283,N$8,Journal!$C$4:$C$9283,$B61)</f>
        <v>0</v>
      </c>
      <c r="O62" s="24"/>
      <c r="P62" s="24">
        <f>SUMIFS(Journal!$D$4:$D$9283,Journal!$B$4:$B$9283,P$8,Journal!$C$4:$C$9283,$B61)</f>
        <v>0</v>
      </c>
      <c r="Q62" s="24"/>
      <c r="R62" s="24">
        <f>SUMIFS(Journal!$D$4:$D$9283,Journal!$B$4:$B$9283,R$8,Journal!$C$4:$C$9283,$B61)</f>
        <v>0</v>
      </c>
      <c r="S62" s="24"/>
      <c r="T62" s="24"/>
      <c r="U62" s="27" t="str">
        <f t="shared" si="5"/>
        <v/>
      </c>
    </row>
    <row r="63" spans="1:21" ht="15" customHeight="1" x14ac:dyDescent="0.25">
      <c r="A63" s="41"/>
      <c r="B63" s="50" t="str">
        <f>Base!G17</f>
        <v>33  Connection à la BDD</v>
      </c>
      <c r="C63" s="21" t="str">
        <f>A$5</f>
        <v>Prévu</v>
      </c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22" t="str">
        <f t="shared" si="5"/>
        <v/>
      </c>
    </row>
    <row r="64" spans="1:21" ht="15" customHeight="1" thickBot="1" x14ac:dyDescent="0.3">
      <c r="A64" s="41"/>
      <c r="B64" s="30"/>
      <c r="C64" s="23" t="str">
        <f>A$6</f>
        <v>Réalisé</v>
      </c>
      <c r="D64" s="24">
        <f>SUMIFS(Journal!$D$4:$D$9283,Journal!$B$4:$B$9283,D$8,Journal!$C$4:$C$9283,$B63)</f>
        <v>0</v>
      </c>
      <c r="E64" s="24"/>
      <c r="F64" s="24">
        <f>SUMIFS(Journal!$D$4:$D$9283,Journal!$B$4:$B$9283,F$8,Journal!$C$4:$C$9283,$B63)</f>
        <v>0</v>
      </c>
      <c r="G64" s="24"/>
      <c r="H64" s="24">
        <f>SUMIFS(Journal!$D$4:$D$9283,Journal!$B$4:$B$9283,H$8,Journal!$C$4:$C$9283,$B63)</f>
        <v>0</v>
      </c>
      <c r="I64" s="24"/>
      <c r="J64" s="24">
        <f>SUMIFS(Journal!$D$4:$D$9283,Journal!$B$4:$B$9283,J$8,Journal!$C$4:$C$9283,$B63)</f>
        <v>0</v>
      </c>
      <c r="K64" s="24"/>
      <c r="L64" s="24">
        <f>SUMIFS(Journal!$D$4:$D$9283,Journal!$B$4:$B$9283,L$8,Journal!$C$4:$C$9283,$B63)</f>
        <v>0</v>
      </c>
      <c r="M64" s="24"/>
      <c r="N64" s="24">
        <f>SUMIFS(Journal!$D$4:$D$9283,Journal!$B$4:$B$9283,N$8,Journal!$C$4:$C$9283,$B63)</f>
        <v>0</v>
      </c>
      <c r="O64" s="24"/>
      <c r="P64" s="24">
        <f>SUMIFS(Journal!$D$4:$D$9283,Journal!$B$4:$B$9283,P$8,Journal!$C$4:$C$9283,$B63)</f>
        <v>0</v>
      </c>
      <c r="Q64" s="24"/>
      <c r="R64" s="24">
        <f>SUMIFS(Journal!$D$4:$D$9283,Journal!$B$4:$B$9283,R$8,Journal!$C$4:$C$9283,$B63)</f>
        <v>0</v>
      </c>
      <c r="S64" s="24"/>
      <c r="T64" s="24">
        <f>SUMIFS(Journal!$D$4:$D$9283,Journal!$B$4:$B$9283,T$8,Journal!$C$4:$C$9283,$B63)</f>
        <v>0</v>
      </c>
      <c r="U64" s="27" t="str">
        <f t="shared" si="5"/>
        <v/>
      </c>
    </row>
    <row r="65" spans="1:21" ht="15" customHeight="1" x14ac:dyDescent="0.25">
      <c r="A65" s="41"/>
      <c r="B65" s="50" t="str">
        <f>Base!G18</f>
        <v>34  Ajout au stock</v>
      </c>
      <c r="C65" s="21" t="str">
        <f>A$5</f>
        <v>Prévu</v>
      </c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22" t="str">
        <f t="shared" si="5"/>
        <v/>
      </c>
    </row>
    <row r="66" spans="1:21" ht="15" customHeight="1" thickBot="1" x14ac:dyDescent="0.3">
      <c r="A66" s="41"/>
      <c r="B66" s="30"/>
      <c r="C66" s="23" t="str">
        <f>A$6</f>
        <v>Réalisé</v>
      </c>
      <c r="D66" s="24">
        <f>SUMIFS(Journal!$D$4:$D$9283,Journal!$B$4:$B$9283,D$8,Journal!$C$4:$C$9283,$B65)</f>
        <v>0</v>
      </c>
      <c r="E66" s="24"/>
      <c r="F66" s="24">
        <f>SUMIFS(Journal!$D$4:$D$9283,Journal!$B$4:$B$9283,F$8,Journal!$C$4:$C$9283,$B65)</f>
        <v>0</v>
      </c>
      <c r="G66" s="24"/>
      <c r="H66" s="24">
        <f>SUMIFS(Journal!$D$4:$D$9283,Journal!$B$4:$B$9283,H$8,Journal!$C$4:$C$9283,$B65)</f>
        <v>0</v>
      </c>
      <c r="I66" s="24"/>
      <c r="J66" s="24">
        <f>SUMIFS(Journal!$D$4:$D$9283,Journal!$B$4:$B$9283,J$8,Journal!$C$4:$C$9283,$B65)</f>
        <v>0</v>
      </c>
      <c r="K66" s="24"/>
      <c r="L66" s="24">
        <f>SUMIFS(Journal!$D$4:$D$9283,Journal!$B$4:$B$9283,L$8,Journal!$C$4:$C$9283,$B65)</f>
        <v>0</v>
      </c>
      <c r="M66" s="24"/>
      <c r="N66" s="24">
        <f>SUMIFS(Journal!$D$4:$D$9283,Journal!$B$4:$B$9283,N$8,Journal!$C$4:$C$9283,$B65)</f>
        <v>0</v>
      </c>
      <c r="O66" s="24"/>
      <c r="P66" s="24">
        <f>SUMIFS(Journal!$D$4:$D$9283,Journal!$B$4:$B$9283,P$8,Journal!$C$4:$C$9283,$B65)</f>
        <v>0</v>
      </c>
      <c r="Q66" s="24"/>
      <c r="R66" s="24">
        <f>SUMIFS(Journal!$D$4:$D$9283,Journal!$B$4:$B$9283,R$8,Journal!$C$4:$C$9283,$B65)</f>
        <v>0</v>
      </c>
      <c r="S66" s="24"/>
      <c r="T66" s="24">
        <f>SUMIFS(Journal!$D$4:$D$9283,Journal!$B$4:$B$9283,T$8,Journal!$C$4:$C$9283,$B65)</f>
        <v>0</v>
      </c>
      <c r="U66" s="27" t="str">
        <f t="shared" si="5"/>
        <v/>
      </c>
    </row>
    <row r="67" spans="1:21" ht="15" customHeight="1" x14ac:dyDescent="0.25">
      <c r="A67" s="41"/>
      <c r="B67" s="50" t="str">
        <f>Base!G19</f>
        <v>35  Retrait du stock</v>
      </c>
      <c r="C67" s="21" t="str">
        <f>A$5</f>
        <v>Prévu</v>
      </c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22" t="str">
        <f t="shared" si="5"/>
        <v/>
      </c>
    </row>
    <row r="68" spans="1:21" ht="15" customHeight="1" thickBot="1" x14ac:dyDescent="0.3">
      <c r="A68" s="41"/>
      <c r="B68" s="30"/>
      <c r="C68" s="23" t="str">
        <f>A$6</f>
        <v>Réalisé</v>
      </c>
      <c r="D68" s="24">
        <f>SUMIFS(Journal!$D$4:$D$9283,Journal!$B$4:$B$9283,D$8,Journal!$C$4:$C$9283,$B67)</f>
        <v>0</v>
      </c>
      <c r="E68" s="24"/>
      <c r="F68" s="24">
        <f>SUMIFS(Journal!$D$4:$D$9283,Journal!$B$4:$B$9283,F$8,Journal!$C$4:$C$9283,$B67)</f>
        <v>0</v>
      </c>
      <c r="G68" s="24"/>
      <c r="H68" s="24">
        <f>SUMIFS(Journal!$D$4:$D$9283,Journal!$B$4:$B$9283,H$8,Journal!$C$4:$C$9283,$B67)</f>
        <v>0</v>
      </c>
      <c r="I68" s="24"/>
      <c r="J68" s="24">
        <f>SUMIFS(Journal!$D$4:$D$9283,Journal!$B$4:$B$9283,J$8,Journal!$C$4:$C$9283,$B67)</f>
        <v>0</v>
      </c>
      <c r="K68" s="24"/>
      <c r="L68" s="24">
        <f>SUMIFS(Journal!$D$4:$D$9283,Journal!$B$4:$B$9283,L$8,Journal!$C$4:$C$9283,$B67)</f>
        <v>0</v>
      </c>
      <c r="M68" s="24"/>
      <c r="N68" s="24">
        <f>SUMIFS(Journal!$D$4:$D$9283,Journal!$B$4:$B$9283,N$8,Journal!$C$4:$C$9283,$B67)</f>
        <v>0</v>
      </c>
      <c r="O68" s="24"/>
      <c r="P68" s="24">
        <f>SUMIFS(Journal!$D$4:$D$9283,Journal!$B$4:$B$9283,P$8,Journal!$C$4:$C$9283,$B67)</f>
        <v>0</v>
      </c>
      <c r="Q68" s="24"/>
      <c r="R68" s="24">
        <f>SUMIFS(Journal!$D$4:$D$9283,Journal!$B$4:$B$9283,R$8,Journal!$C$4:$C$9283,$B67)</f>
        <v>0</v>
      </c>
      <c r="S68" s="24"/>
      <c r="T68" s="24">
        <f>SUMIFS(Journal!$D$4:$D$9283,Journal!$B$4:$B$9283,T$8,Journal!$C$4:$C$9283,$B67)</f>
        <v>0</v>
      </c>
      <c r="U68" s="27" t="str">
        <f t="shared" si="5"/>
        <v/>
      </c>
    </row>
    <row r="69" spans="1:21" ht="15" customHeight="1" x14ac:dyDescent="0.25">
      <c r="A69" s="41"/>
      <c r="B69" s="50" t="str">
        <f>Base!G20</f>
        <v>36 Génération de pdf</v>
      </c>
      <c r="C69" s="21" t="str">
        <f>A$5</f>
        <v>Prévu</v>
      </c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22" t="str">
        <f t="shared" si="5"/>
        <v/>
      </c>
    </row>
    <row r="70" spans="1:21" ht="15" customHeight="1" thickBot="1" x14ac:dyDescent="0.3">
      <c r="A70" s="41"/>
      <c r="B70" s="30"/>
      <c r="C70" s="23" t="str">
        <f>A$6</f>
        <v>Réalisé</v>
      </c>
      <c r="D70" s="24">
        <f>SUMIFS(Journal!$D$4:$D$9283,Journal!$B$4:$B$9283,D$8,Journal!$C$4:$C$9283,$B69)</f>
        <v>0</v>
      </c>
      <c r="E70" s="24"/>
      <c r="F70" s="24">
        <f>SUMIFS(Journal!$D$4:$D$9283,Journal!$B$4:$B$9283,F$8,Journal!$C$4:$C$9283,$B69)</f>
        <v>0</v>
      </c>
      <c r="G70" s="24"/>
      <c r="H70" s="24">
        <f>SUMIFS(Journal!$D$4:$D$9283,Journal!$B$4:$B$9283,H$8,Journal!$C$4:$C$9283,$B69)</f>
        <v>0</v>
      </c>
      <c r="I70" s="24"/>
      <c r="J70" s="24">
        <f>SUMIFS(Journal!$D$4:$D$9283,Journal!$B$4:$B$9283,J$8,Journal!$C$4:$C$9283,$B69)</f>
        <v>0</v>
      </c>
      <c r="K70" s="24"/>
      <c r="L70" s="24">
        <f>SUMIFS(Journal!$D$4:$D$9283,Journal!$B$4:$B$9283,L$8,Journal!$C$4:$C$9283,$B69)</f>
        <v>0</v>
      </c>
      <c r="M70" s="24"/>
      <c r="N70" s="24">
        <f>SUMIFS(Journal!$D$4:$D$9283,Journal!$B$4:$B$9283,N$8,Journal!$C$4:$C$9283,$B69)</f>
        <v>0</v>
      </c>
      <c r="O70" s="24"/>
      <c r="P70" s="24">
        <f>SUMIFS(Journal!$D$4:$D$9283,Journal!$B$4:$B$9283,P$8,Journal!$C$4:$C$9283,$B69)</f>
        <v>0</v>
      </c>
      <c r="Q70" s="24"/>
      <c r="R70" s="24">
        <f>SUMIFS(Journal!$D$4:$D$9283,Journal!$B$4:$B$9283,R$8,Journal!$C$4:$C$9283,$B69)</f>
        <v>0</v>
      </c>
      <c r="S70" s="24"/>
      <c r="T70" s="24">
        <f>SUMIFS(Journal!$D$4:$D$9283,Journal!$B$4:$B$9283,T$8,Journal!$C$4:$C$9283,$B69)</f>
        <v>0</v>
      </c>
      <c r="U70" s="27" t="str">
        <f t="shared" si="5"/>
        <v/>
      </c>
    </row>
    <row r="71" spans="1:21" ht="20.25" customHeight="1" x14ac:dyDescent="0.25">
      <c r="A71" s="97" t="str">
        <f>Base!F30</f>
        <v>5 Documentation</v>
      </c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19">
        <f>SUMIF($C73:$C84,$C73,U73:U84)</f>
        <v>0</v>
      </c>
    </row>
    <row r="72" spans="1:21" ht="15" customHeight="1" thickBot="1" x14ac:dyDescent="0.3">
      <c r="A72" s="99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20">
        <f>SUMIF($C73:$C84,$C74,U73:U84)</f>
        <v>0</v>
      </c>
    </row>
    <row r="73" spans="1:21" ht="15" customHeight="1" x14ac:dyDescent="0.25">
      <c r="A73" s="41"/>
      <c r="B73" s="50" t="str">
        <f>Base!G24</f>
        <v>41 Tests unitaires</v>
      </c>
      <c r="C73" s="21" t="str">
        <f>A$5</f>
        <v>Prévu</v>
      </c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22" t="str">
        <f t="shared" ref="U73:U84" si="6">IF(SUM(D73:T73)=0,"",SUM(D73:T73))</f>
        <v/>
      </c>
    </row>
    <row r="74" spans="1:21" ht="15" customHeight="1" thickBot="1" x14ac:dyDescent="0.3">
      <c r="A74" s="41"/>
      <c r="B74" s="30"/>
      <c r="C74" s="23" t="str">
        <f>A$6</f>
        <v>Réalisé</v>
      </c>
      <c r="D74" s="24">
        <f>SUMIFS(Journal!$D$4:$D$9283,Journal!$B$4:$B$9283,D$8,Journal!$C$4:$C$9283,$B73)</f>
        <v>0</v>
      </c>
      <c r="E74" s="24"/>
      <c r="F74" s="24">
        <f>SUMIFS(Journal!$D$4:$D$9283,Journal!$B$4:$B$9283,F$8,Journal!$C$4:$C$9283,$B73)</f>
        <v>0</v>
      </c>
      <c r="G74" s="24"/>
      <c r="H74" s="24">
        <f>SUMIFS(Journal!$D$4:$D$9283,Journal!$B$4:$B$9283,H$8,Journal!$C$4:$C$9283,$B73)</f>
        <v>0</v>
      </c>
      <c r="I74" s="24"/>
      <c r="J74" s="24">
        <f>SUMIFS(Journal!$D$4:$D$9283,Journal!$B$4:$B$9283,J$8,Journal!$C$4:$C$9283,$B73)</f>
        <v>0</v>
      </c>
      <c r="K74" s="24"/>
      <c r="L74" s="24">
        <f>SUMIFS(Journal!$D$4:$D$9283,Journal!$B$4:$B$9283,L$8,Journal!$C$4:$C$9283,$B73)</f>
        <v>0</v>
      </c>
      <c r="M74" s="24"/>
      <c r="N74" s="24">
        <f>SUMIFS(Journal!$D$4:$D$9283,Journal!$B$4:$B$9283,N$8,Journal!$C$4:$C$9283,$B73)</f>
        <v>0</v>
      </c>
      <c r="O74" s="24"/>
      <c r="P74" s="24">
        <f>SUMIFS(Journal!$D$4:$D$9283,Journal!$B$4:$B$9283,P$8,Journal!$C$4:$C$9283,$B73)</f>
        <v>0</v>
      </c>
      <c r="Q74" s="24"/>
      <c r="R74" s="24">
        <f>SUMIFS(Journal!$D$4:$D$9283,Journal!$B$4:$B$9283,R$8,Journal!$C$4:$C$9283,$B73)</f>
        <v>0</v>
      </c>
      <c r="S74" s="24"/>
      <c r="T74" s="24">
        <f>SUMIFS(Journal!$D$4:$D$9283,Journal!$B$4:$B$9283,T$8,Journal!$C$4:$C$9283,$B73)</f>
        <v>0</v>
      </c>
      <c r="U74" s="27" t="str">
        <f t="shared" si="6"/>
        <v/>
      </c>
    </row>
    <row r="75" spans="1:21" ht="15" customHeight="1" x14ac:dyDescent="0.25">
      <c r="A75" s="41"/>
      <c r="B75" s="50" t="str">
        <f>Base!G25</f>
        <v>42 Tests d'intégration</v>
      </c>
      <c r="C75" s="21" t="str">
        <f>A$5</f>
        <v>Prévu</v>
      </c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22" t="str">
        <f t="shared" si="6"/>
        <v/>
      </c>
    </row>
    <row r="76" spans="1:21" ht="15" customHeight="1" thickBot="1" x14ac:dyDescent="0.3">
      <c r="A76" s="41"/>
      <c r="B76" s="30"/>
      <c r="C76" s="23" t="str">
        <f>A$6</f>
        <v>Réalisé</v>
      </c>
      <c r="D76" s="24">
        <f>SUMIFS(Journal!$D$4:$D$9283,Journal!$B$4:$B$9283,D$8,Journal!$C$4:$C$9283,$B75)</f>
        <v>0</v>
      </c>
      <c r="E76" s="24"/>
      <c r="F76" s="24">
        <f>SUMIFS(Journal!$D$4:$D$9283,Journal!$B$4:$B$9283,F$8,Journal!$C$4:$C$9283,$B75)</f>
        <v>0</v>
      </c>
      <c r="G76" s="24"/>
      <c r="H76" s="24">
        <f>SUMIFS(Journal!$D$4:$D$9283,Journal!$B$4:$B$9283,H$8,Journal!$C$4:$C$9283,$B75)</f>
        <v>0</v>
      </c>
      <c r="I76" s="24"/>
      <c r="J76" s="24">
        <f>SUMIFS(Journal!$D$4:$D$9283,Journal!$B$4:$B$9283,J$8,Journal!$C$4:$C$9283,$B75)</f>
        <v>0</v>
      </c>
      <c r="K76" s="24"/>
      <c r="L76" s="24">
        <f>SUMIFS(Journal!$D$4:$D$9283,Journal!$B$4:$B$9283,L$8,Journal!$C$4:$C$9283,$B75)</f>
        <v>0</v>
      </c>
      <c r="M76" s="24"/>
      <c r="N76" s="24">
        <f>SUMIFS(Journal!$D$4:$D$9283,Journal!$B$4:$B$9283,N$8,Journal!$C$4:$C$9283,$B75)</f>
        <v>0</v>
      </c>
      <c r="O76" s="24"/>
      <c r="P76" s="24">
        <f>SUMIFS(Journal!$D$4:$D$9283,Journal!$B$4:$B$9283,P$8,Journal!$C$4:$C$9283,$B75)</f>
        <v>0</v>
      </c>
      <c r="Q76" s="24"/>
      <c r="R76" s="24">
        <f>SUMIFS(Journal!$D$4:$D$9283,Journal!$B$4:$B$9283,R$8,Journal!$C$4:$C$9283,$B75)</f>
        <v>0</v>
      </c>
      <c r="S76" s="24"/>
      <c r="T76" s="24">
        <f>SUMIFS(Journal!$D$4:$D$9283,Journal!$B$4:$B$9283,T$8,Journal!$C$4:$C$9283,$B75)</f>
        <v>0</v>
      </c>
      <c r="U76" s="27" t="str">
        <f t="shared" si="6"/>
        <v/>
      </c>
    </row>
    <row r="77" spans="1:21" ht="15" customHeight="1" x14ac:dyDescent="0.25">
      <c r="A77" s="41"/>
      <c r="B77" s="50" t="str">
        <f>Base!G26</f>
        <v>43 Tests fonctionnels</v>
      </c>
      <c r="C77" s="21" t="str">
        <f>A$5</f>
        <v>Prévu</v>
      </c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22" t="str">
        <f t="shared" si="6"/>
        <v/>
      </c>
    </row>
    <row r="78" spans="1:21" ht="15" customHeight="1" thickBot="1" x14ac:dyDescent="0.3">
      <c r="A78" s="41"/>
      <c r="B78" s="30"/>
      <c r="C78" s="23" t="str">
        <f>A$6</f>
        <v>Réalisé</v>
      </c>
      <c r="D78" s="24">
        <f>SUMIFS(Journal!$D$4:$D$9283,Journal!$B$4:$B$9283,D$8,Journal!$C$4:$C$9283,$B77)</f>
        <v>0</v>
      </c>
      <c r="E78" s="24"/>
      <c r="F78" s="24">
        <f>SUMIFS(Journal!$D$4:$D$9283,Journal!$B$4:$B$9283,F$8,Journal!$C$4:$C$9283,$B77)</f>
        <v>0</v>
      </c>
      <c r="G78" s="24"/>
      <c r="H78" s="24">
        <f>SUMIFS(Journal!$D$4:$D$9283,Journal!$B$4:$B$9283,H$8,Journal!$C$4:$C$9283,$B77)</f>
        <v>0</v>
      </c>
      <c r="I78" s="24"/>
      <c r="J78" s="24">
        <f>SUMIFS(Journal!$D$4:$D$9283,Journal!$B$4:$B$9283,J$8,Journal!$C$4:$C$9283,$B77)</f>
        <v>0</v>
      </c>
      <c r="K78" s="24"/>
      <c r="L78" s="24">
        <f>SUMIFS(Journal!$D$4:$D$9283,Journal!$B$4:$B$9283,L$8,Journal!$C$4:$C$9283,$B77)</f>
        <v>0</v>
      </c>
      <c r="M78" s="24"/>
      <c r="N78" s="24">
        <f>SUMIFS(Journal!$D$4:$D$9283,Journal!$B$4:$B$9283,N$8,Journal!$C$4:$C$9283,$B77)</f>
        <v>0</v>
      </c>
      <c r="O78" s="24"/>
      <c r="P78" s="24">
        <f>SUMIFS(Journal!$D$4:$D$9283,Journal!$B$4:$B$9283,P$8,Journal!$C$4:$C$9283,$B77)</f>
        <v>0</v>
      </c>
      <c r="Q78" s="24"/>
      <c r="R78" s="24">
        <f>SUMIFS(Journal!$D$4:$D$9283,Journal!$B$4:$B$9283,R$8,Journal!$C$4:$C$9283,$B77)</f>
        <v>0</v>
      </c>
      <c r="S78" s="24"/>
      <c r="T78" s="24">
        <f>SUMIFS(Journal!$D$4:$D$9283,Journal!$B$4:$B$9283,T$8,Journal!$C$4:$C$9283,$B77)</f>
        <v>0</v>
      </c>
      <c r="U78" s="27" t="str">
        <f t="shared" si="6"/>
        <v/>
      </c>
    </row>
    <row r="79" spans="1:21" ht="15" customHeight="1" x14ac:dyDescent="0.25">
      <c r="A79" s="41"/>
      <c r="B79" s="50" t="str">
        <f>Base!G27</f>
        <v>44 -</v>
      </c>
      <c r="C79" s="21" t="str">
        <f>A$5</f>
        <v>Prévu</v>
      </c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22" t="str">
        <f t="shared" si="6"/>
        <v/>
      </c>
    </row>
    <row r="80" spans="1:21" ht="15" customHeight="1" thickBot="1" x14ac:dyDescent="0.3">
      <c r="A80" s="41"/>
      <c r="B80" s="30"/>
      <c r="C80" s="23" t="str">
        <f>A$6</f>
        <v>Réalisé</v>
      </c>
      <c r="D80" s="24">
        <f>SUMIFS(Journal!$D$4:$D$9283,Journal!$B$4:$B$9283,D$8,Journal!$C$4:$C$9283,$B79)</f>
        <v>0</v>
      </c>
      <c r="E80" s="24"/>
      <c r="F80" s="24">
        <f>SUMIFS(Journal!$D$4:$D$9283,Journal!$B$4:$B$9283,F$8,Journal!$C$4:$C$9283,$B79)</f>
        <v>0</v>
      </c>
      <c r="G80" s="24"/>
      <c r="H80" s="24">
        <f>SUMIFS(Journal!$D$4:$D$9283,Journal!$B$4:$B$9283,H$8,Journal!$C$4:$C$9283,$B79)</f>
        <v>0</v>
      </c>
      <c r="I80" s="24"/>
      <c r="J80" s="24">
        <f>SUMIFS(Journal!$D$4:$D$9283,Journal!$B$4:$B$9283,J$8,Journal!$C$4:$C$9283,$B79)</f>
        <v>0</v>
      </c>
      <c r="K80" s="24"/>
      <c r="L80" s="24">
        <f>SUMIFS(Journal!$D$4:$D$9283,Journal!$B$4:$B$9283,L$8,Journal!$C$4:$C$9283,$B79)</f>
        <v>0</v>
      </c>
      <c r="M80" s="24"/>
      <c r="N80" s="24">
        <f>SUMIFS(Journal!$D$4:$D$9283,Journal!$B$4:$B$9283,N$8,Journal!$C$4:$C$9283,$B79)</f>
        <v>0</v>
      </c>
      <c r="O80" s="24"/>
      <c r="P80" s="24">
        <f>SUMIFS(Journal!$D$4:$D$9283,Journal!$B$4:$B$9283,P$8,Journal!$C$4:$C$9283,$B79)</f>
        <v>0</v>
      </c>
      <c r="Q80" s="24"/>
      <c r="R80" s="24">
        <f>SUMIFS(Journal!$D$4:$D$9283,Journal!$B$4:$B$9283,R$8,Journal!$C$4:$C$9283,$B79)</f>
        <v>0</v>
      </c>
      <c r="S80" s="24"/>
      <c r="T80" s="24">
        <f>SUMIFS(Journal!$D$4:$D$9283,Journal!$B$4:$B$9283,T$8,Journal!$C$4:$C$9283,$B79)</f>
        <v>0</v>
      </c>
      <c r="U80" s="27" t="str">
        <f t="shared" si="6"/>
        <v/>
      </c>
    </row>
    <row r="81" spans="1:21" ht="15" customHeight="1" x14ac:dyDescent="0.25">
      <c r="A81" s="41"/>
      <c r="B81" s="50" t="str">
        <f>Base!G28</f>
        <v>45 -</v>
      </c>
      <c r="C81" s="21" t="str">
        <f>A$5</f>
        <v>Prévu</v>
      </c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22" t="str">
        <f t="shared" si="6"/>
        <v/>
      </c>
    </row>
    <row r="82" spans="1:21" ht="15" customHeight="1" x14ac:dyDescent="0.25">
      <c r="A82" s="41"/>
      <c r="B82" s="30"/>
      <c r="C82" s="23" t="str">
        <f>A$6</f>
        <v>Réalisé</v>
      </c>
      <c r="D82" s="24">
        <f>SUMIFS(Journal!$D$4:$D$9283,Journal!$B$4:$B$9283,D$8,Journal!$C$4:$C$9283,$B81)</f>
        <v>0</v>
      </c>
      <c r="E82" s="24"/>
      <c r="F82" s="24">
        <f>SUMIFS(Journal!$D$4:$D$9283,Journal!$B$4:$B$9283,F$8,Journal!$C$4:$C$9283,$B81)</f>
        <v>0</v>
      </c>
      <c r="G82" s="24"/>
      <c r="H82" s="24">
        <f>SUMIFS(Journal!$D$4:$D$9283,Journal!$B$4:$B$9283,H$8,Journal!$C$4:$C$9283,$B81)</f>
        <v>0</v>
      </c>
      <c r="I82" s="24"/>
      <c r="J82" s="24">
        <f>SUMIFS(Journal!$D$4:$D$9283,Journal!$B$4:$B$9283,J$8,Journal!$C$4:$C$9283,$B81)</f>
        <v>0</v>
      </c>
      <c r="K82" s="24"/>
      <c r="L82" s="24">
        <f>SUMIFS(Journal!$D$4:$D$9283,Journal!$B$4:$B$9283,L$8,Journal!$C$4:$C$9283,$B81)</f>
        <v>0</v>
      </c>
      <c r="M82" s="24"/>
      <c r="N82" s="24">
        <f>SUMIFS(Journal!$D$4:$D$9283,Journal!$B$4:$B$9283,N$8,Journal!$C$4:$C$9283,$B81)</f>
        <v>0</v>
      </c>
      <c r="O82" s="24"/>
      <c r="P82" s="24">
        <f>SUMIFS(Journal!$D$4:$D$9283,Journal!$B$4:$B$9283,P$8,Journal!$C$4:$C$9283,$B81)</f>
        <v>0</v>
      </c>
      <c r="Q82" s="24"/>
      <c r="R82" s="24">
        <f>SUMIFS(Journal!$D$4:$D$9283,Journal!$B$4:$B$9283,R$8,Journal!$C$4:$C$9283,$B81)</f>
        <v>0</v>
      </c>
      <c r="S82" s="24"/>
      <c r="T82" s="24">
        <f>SUMIFS(Journal!$D$4:$D$9283,Journal!$B$4:$B$9283,T$8,Journal!$C$4:$C$9283,$B81)</f>
        <v>0</v>
      </c>
      <c r="U82" s="27" t="str">
        <f t="shared" si="6"/>
        <v/>
      </c>
    </row>
    <row r="83" spans="1:21" ht="15" customHeight="1" x14ac:dyDescent="0.25">
      <c r="A83" s="41"/>
      <c r="B83" s="50" t="str">
        <f>Base!G29</f>
        <v>46 -</v>
      </c>
      <c r="C83" s="21" t="str">
        <f>A$5</f>
        <v>Prévu</v>
      </c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28" t="str">
        <f t="shared" si="6"/>
        <v/>
      </c>
    </row>
    <row r="84" spans="1:21" ht="15" customHeight="1" thickBot="1" x14ac:dyDescent="0.3">
      <c r="A84" s="41"/>
      <c r="B84" s="30"/>
      <c r="C84" s="23" t="str">
        <f>A$6</f>
        <v>Réalisé</v>
      </c>
      <c r="D84" s="24">
        <f>SUMIFS(Journal!$D$4:$D$9283,Journal!$B$4:$B$9283,D$8,Journal!$C$4:$C$9283,$B83)</f>
        <v>0</v>
      </c>
      <c r="E84" s="24"/>
      <c r="F84" s="24">
        <f>SUMIFS(Journal!$D$4:$D$9283,Journal!$B$4:$B$9283,F$8,Journal!$C$4:$C$9283,$B83)</f>
        <v>0</v>
      </c>
      <c r="G84" s="24"/>
      <c r="H84" s="24">
        <f>SUMIFS(Journal!$D$4:$D$9283,Journal!$B$4:$B$9283,H$8,Journal!$C$4:$C$9283,$B83)</f>
        <v>0</v>
      </c>
      <c r="I84" s="24"/>
      <c r="J84" s="24">
        <f>SUMIFS(Journal!$D$4:$D$9283,Journal!$B$4:$B$9283,J$8,Journal!$C$4:$C$9283,$B83)</f>
        <v>0</v>
      </c>
      <c r="K84" s="24"/>
      <c r="L84" s="24">
        <f>SUMIFS(Journal!$D$4:$D$9283,Journal!$B$4:$B$9283,L$8,Journal!$C$4:$C$9283,$B83)</f>
        <v>0</v>
      </c>
      <c r="M84" s="24"/>
      <c r="N84" s="24">
        <f>SUMIFS(Journal!$D$4:$D$9283,Journal!$B$4:$B$9283,N$8,Journal!$C$4:$C$9283,$B83)</f>
        <v>0</v>
      </c>
      <c r="O84" s="24"/>
      <c r="P84" s="24">
        <f>SUMIFS(Journal!$D$4:$D$9283,Journal!$B$4:$B$9283,P$8,Journal!$C$4:$C$9283,$B83)</f>
        <v>0</v>
      </c>
      <c r="Q84" s="24"/>
      <c r="R84" s="24">
        <f>SUMIFS(Journal!$D$4:$D$9283,Journal!$B$4:$B$9283,R$8,Journal!$C$4:$C$9283,$B83)</f>
        <v>0</v>
      </c>
      <c r="S84" s="24"/>
      <c r="T84" s="24">
        <f>SUMIFS(Journal!$D$4:$D$9283,Journal!$B$4:$B$9283,T$8,Journal!$C$4:$C$9283,$B83)</f>
        <v>0</v>
      </c>
      <c r="U84" s="27" t="str">
        <f t="shared" si="6"/>
        <v/>
      </c>
    </row>
    <row r="85" spans="1:21" ht="20.25" customHeight="1" x14ac:dyDescent="0.25">
      <c r="A85" s="101" t="str">
        <f>Base!F36</f>
        <v>6 Absence</v>
      </c>
      <c r="B85" s="102"/>
      <c r="C85" s="102"/>
      <c r="D85" s="102"/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9">
        <f>SUMIF($C87:$C98,$C87,U87:U98)</f>
        <v>0.33333333333333331</v>
      </c>
    </row>
    <row r="86" spans="1:21" ht="15" customHeight="1" thickBot="1" x14ac:dyDescent="0.3">
      <c r="A86" s="103"/>
      <c r="B86" s="104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20">
        <f>SUMIF($C87:$C98,$C88,U87:U98)</f>
        <v>2.0833333333333332E-2</v>
      </c>
    </row>
    <row r="87" spans="1:21" ht="15" customHeight="1" x14ac:dyDescent="0.25">
      <c r="A87" s="41"/>
      <c r="B87" s="50" t="str">
        <f>Base!G30</f>
        <v>51 Rapport de pré-TPI</v>
      </c>
      <c r="C87" s="21" t="str">
        <f>A$5</f>
        <v>Prévu</v>
      </c>
      <c r="D87" s="36">
        <v>4.1666666666666664E-2</v>
      </c>
      <c r="E87" s="36"/>
      <c r="F87" s="36">
        <v>4.1666666666666664E-2</v>
      </c>
      <c r="G87" s="36"/>
      <c r="H87" s="36">
        <v>4.1666666666666664E-2</v>
      </c>
      <c r="I87" s="36"/>
      <c r="J87" s="36">
        <v>4.1666666666666664E-2</v>
      </c>
      <c r="K87" s="36"/>
      <c r="L87" s="36">
        <v>4.1666666666666664E-2</v>
      </c>
      <c r="M87" s="36"/>
      <c r="N87" s="36">
        <v>4.1666666666666664E-2</v>
      </c>
      <c r="O87" s="36"/>
      <c r="P87" s="36">
        <v>4.1666666666666664E-2</v>
      </c>
      <c r="Q87" s="36"/>
      <c r="R87" s="36">
        <v>4.1666666666666664E-2</v>
      </c>
      <c r="S87" s="36"/>
      <c r="T87" s="36">
        <v>4.1666666666666664E-2</v>
      </c>
      <c r="U87" s="22">
        <f>IF(SUM(E87:T87)=0,"",SUM(E87:T87))</f>
        <v>0.33333333333333331</v>
      </c>
    </row>
    <row r="88" spans="1:21" ht="15" customHeight="1" thickBot="1" x14ac:dyDescent="0.3">
      <c r="A88" s="41"/>
      <c r="B88" s="30"/>
      <c r="C88" s="23" t="str">
        <f>A$6</f>
        <v>Réalisé</v>
      </c>
      <c r="D88" s="24">
        <f>SUMIFS(Journal!$D$4:$D$9283,Journal!$B$4:$B$9283,D$8,Journal!$C$4:$C$9283,$B87)</f>
        <v>2.0833333333333332E-2</v>
      </c>
      <c r="E88" s="24">
        <f>SUMIFS(Journal!$D$4:$D$9283,Journal!$B$4:$B$9283,E$8,Journal!$C$4:$C$9283,$B87)</f>
        <v>0</v>
      </c>
      <c r="F88" s="24">
        <f>SUMIFS(Journal!$D$4:$D$9283,Journal!$B$4:$B$9283,F$8,Journal!$C$4:$C$9283,$B87)</f>
        <v>0</v>
      </c>
      <c r="G88" s="24">
        <f>SUMIFS(Journal!$D$4:$D$9283,Journal!$B$4:$B$9283,G$8,Journal!$C$4:$C$9283,$B87)</f>
        <v>0</v>
      </c>
      <c r="H88" s="24">
        <f>SUMIFS(Journal!$D$4:$D$9283,Journal!$B$4:$B$9283,H$8,Journal!$C$4:$C$9283,$B87)</f>
        <v>0</v>
      </c>
      <c r="I88" s="24">
        <f>SUMIFS(Journal!$D$4:$D$9283,Journal!$B$4:$B$9283,I$8,Journal!$C$4:$C$9283,$B87)</f>
        <v>0</v>
      </c>
      <c r="J88" s="24">
        <f>SUMIFS(Journal!$D$4:$D$9283,Journal!$B$4:$B$9283,J$8,Journal!$C$4:$C$9283,$B87)</f>
        <v>0</v>
      </c>
      <c r="K88" s="24">
        <f>SUMIFS(Journal!$D$4:$D$9283,Journal!$B$4:$B$9283,K$8,Journal!$C$4:$C$9283,$B87)</f>
        <v>0</v>
      </c>
      <c r="L88" s="24">
        <f>SUMIFS(Journal!$D$4:$D$9283,Journal!$B$4:$B$9283,L$8,Journal!$C$4:$C$9283,$B87)</f>
        <v>0</v>
      </c>
      <c r="M88" s="24">
        <f>SUMIFS(Journal!$D$4:$D$9283,Journal!$B$4:$B$9283,M$8,Journal!$C$4:$C$9283,$B87)</f>
        <v>0</v>
      </c>
      <c r="N88" s="24">
        <f>SUMIFS(Journal!$D$4:$D$9283,Journal!$B$4:$B$9283,N$8,Journal!$C$4:$C$9283,$B87)</f>
        <v>0</v>
      </c>
      <c r="O88" s="24">
        <f>SUMIFS(Journal!$D$4:$D$9283,Journal!$B$4:$B$9283,O$8,Journal!$C$4:$C$9283,$B87)</f>
        <v>0</v>
      </c>
      <c r="P88" s="24">
        <f>SUMIFS(Journal!$D$4:$D$9283,Journal!$B$4:$B$9283,P$8,Journal!$C$4:$C$9283,$B87)</f>
        <v>0</v>
      </c>
      <c r="Q88" s="24">
        <f>SUMIFS(Journal!$D$4:$D$9283,Journal!$B$4:$B$9283,Q$8,Journal!$C$4:$C$9283,$B87)</f>
        <v>0</v>
      </c>
      <c r="R88" s="24">
        <f>SUMIFS(Journal!$D$4:$D$9283,Journal!$B$4:$B$9283,R$8,Journal!$C$4:$C$9283,$B87)</f>
        <v>0</v>
      </c>
      <c r="S88" s="24">
        <f>SUMIFS(Journal!$D$4:$D$9283,Journal!$B$4:$B$9283,S$8,Journal!$C$4:$C$9283,$B87)</f>
        <v>0</v>
      </c>
      <c r="T88" s="24">
        <f>SUMIFS(Journal!$D$4:$D$9283,Journal!$B$4:$B$9283,T$8,Journal!$C$4:$C$9283,$B87)</f>
        <v>0</v>
      </c>
      <c r="U88" s="27">
        <f>IF(SUM(D88:T88)=0,"",SUM(D88:T88))</f>
        <v>2.0833333333333332E-2</v>
      </c>
    </row>
    <row r="89" spans="1:21" ht="15" customHeight="1" x14ac:dyDescent="0.25">
      <c r="A89" s="41"/>
      <c r="B89" s="50" t="str">
        <f>Base!G31</f>
        <v>52 Mode d'emploi utilisateur</v>
      </c>
      <c r="C89" s="21" t="str">
        <f>A$5</f>
        <v>Prévu</v>
      </c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22" t="str">
        <f>IF(SUM(E89:T89)=0,"",SUM(E89:T89))</f>
        <v/>
      </c>
    </row>
    <row r="90" spans="1:21" ht="15" customHeight="1" thickBot="1" x14ac:dyDescent="0.3">
      <c r="A90" s="41"/>
      <c r="B90" s="30"/>
      <c r="C90" s="23" t="str">
        <f>A$6</f>
        <v>Réalisé</v>
      </c>
      <c r="D90" s="24">
        <f>SUMIFS(Journal!$D$4:$D$9283,Journal!$B$4:$B$9283,D$8,Journal!$C$4:$C$9283,$B89)</f>
        <v>0</v>
      </c>
      <c r="E90" s="24">
        <f>SUMIFS(Journal!$D$4:$D$9283,Journal!$B$4:$B$9283,E$8,Journal!$C$4:$C$9283,$B89)</f>
        <v>0</v>
      </c>
      <c r="F90" s="24">
        <f>SUMIFS(Journal!$D$4:$D$9283,Journal!$B$4:$B$9283,F$8,Journal!$C$4:$C$9283,$B89)</f>
        <v>0</v>
      </c>
      <c r="G90" s="24">
        <f>SUMIFS(Journal!$D$4:$D$9283,Journal!$B$4:$B$9283,G$8,Journal!$C$4:$C$9283,$B89)</f>
        <v>0</v>
      </c>
      <c r="H90" s="24">
        <f>SUMIFS(Journal!$D$4:$D$9283,Journal!$B$4:$B$9283,H$8,Journal!$C$4:$C$9283,$B89)</f>
        <v>0</v>
      </c>
      <c r="I90" s="24">
        <f>SUMIFS(Journal!$D$4:$D$9283,Journal!$B$4:$B$9283,I$8,Journal!$C$4:$C$9283,$B89)</f>
        <v>0</v>
      </c>
      <c r="J90" s="24">
        <f>SUMIFS(Journal!$D$4:$D$9283,Journal!$B$4:$B$9283,J$8,Journal!$C$4:$C$9283,$B89)</f>
        <v>0</v>
      </c>
      <c r="K90" s="24">
        <f>SUMIFS(Journal!$D$4:$D$9283,Journal!$B$4:$B$9283,K$8,Journal!$C$4:$C$9283,$B89)</f>
        <v>0</v>
      </c>
      <c r="L90" s="24">
        <f>SUMIFS(Journal!$D$4:$D$9283,Journal!$B$4:$B$9283,L$8,Journal!$C$4:$C$9283,$B89)</f>
        <v>0</v>
      </c>
      <c r="M90" s="24">
        <f>SUMIFS(Journal!$D$4:$D$9283,Journal!$B$4:$B$9283,M$8,Journal!$C$4:$C$9283,$B89)</f>
        <v>0</v>
      </c>
      <c r="N90" s="24">
        <f>SUMIFS(Journal!$D$4:$D$9283,Journal!$B$4:$B$9283,N$8,Journal!$C$4:$C$9283,$B89)</f>
        <v>0</v>
      </c>
      <c r="O90" s="24">
        <f>SUMIFS(Journal!$D$4:$D$9283,Journal!$B$4:$B$9283,O$8,Journal!$C$4:$C$9283,$B89)</f>
        <v>0</v>
      </c>
      <c r="P90" s="24">
        <f>SUMIFS(Journal!$D$4:$D$9283,Journal!$B$4:$B$9283,P$8,Journal!$C$4:$C$9283,$B89)</f>
        <v>0</v>
      </c>
      <c r="Q90" s="24">
        <f>SUMIFS(Journal!$D$4:$D$9283,Journal!$B$4:$B$9283,Q$8,Journal!$C$4:$C$9283,$B89)</f>
        <v>0</v>
      </c>
      <c r="R90" s="24">
        <f>SUMIFS(Journal!$D$4:$D$9283,Journal!$B$4:$B$9283,R$8,Journal!$C$4:$C$9283,$B89)</f>
        <v>0</v>
      </c>
      <c r="S90" s="24">
        <f>SUMIFS(Journal!$D$4:$D$9283,Journal!$B$4:$B$9283,S$8,Journal!$C$4:$C$9283,$B89)</f>
        <v>0</v>
      </c>
      <c r="T90" s="24">
        <f>SUMIFS(Journal!$D$4:$D$9283,Journal!$B$4:$B$9283,T$8,Journal!$C$4:$C$9283,$B89)</f>
        <v>0</v>
      </c>
      <c r="U90" s="27" t="str">
        <f t="shared" ref="U90:U98" si="7">IF(SUM(D90:T90)=0,"",SUM(D90:T90))</f>
        <v/>
      </c>
    </row>
    <row r="91" spans="1:21" ht="15" customHeight="1" x14ac:dyDescent="0.25">
      <c r="A91" s="41"/>
      <c r="B91" s="50" t="str">
        <f>Base!G32</f>
        <v>53 -</v>
      </c>
      <c r="C91" s="21" t="str">
        <f>A$5</f>
        <v>Prévu</v>
      </c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22" t="str">
        <f t="shared" si="7"/>
        <v/>
      </c>
    </row>
    <row r="92" spans="1:21" ht="15" customHeight="1" thickBot="1" x14ac:dyDescent="0.3">
      <c r="A92" s="41"/>
      <c r="B92" s="30"/>
      <c r="C92" s="23" t="str">
        <f>A$6</f>
        <v>Réalisé</v>
      </c>
      <c r="D92" s="24">
        <f>SUMIFS(Journal!$D$4:$D$9283,Journal!$B$4:$B$9283,D$8,Journal!$C$4:$C$9283,$B91)</f>
        <v>0</v>
      </c>
      <c r="E92" s="24"/>
      <c r="F92" s="24">
        <f>SUMIFS(Journal!$D$4:$D$9283,Journal!$B$4:$B$9283,F$8,Journal!$C$4:$C$9283,$B91)</f>
        <v>0</v>
      </c>
      <c r="G92" s="24"/>
      <c r="H92" s="24">
        <f>SUMIFS(Journal!$D$4:$D$9283,Journal!$B$4:$B$9283,H$8,Journal!$C$4:$C$9283,$B91)</f>
        <v>0</v>
      </c>
      <c r="I92" s="24"/>
      <c r="J92" s="24">
        <f>SUMIFS(Journal!$D$4:$D$9283,Journal!$B$4:$B$9283,J$8,Journal!$C$4:$C$9283,$B91)</f>
        <v>0</v>
      </c>
      <c r="K92" s="24"/>
      <c r="L92" s="24">
        <f>SUMIFS(Journal!$D$4:$D$9283,Journal!$B$4:$B$9283,L$8,Journal!$C$4:$C$9283,$B91)</f>
        <v>0</v>
      </c>
      <c r="M92" s="24"/>
      <c r="N92" s="24">
        <f>SUMIFS(Journal!$D$4:$D$9283,Journal!$B$4:$B$9283,N$8,Journal!$C$4:$C$9283,$B91)</f>
        <v>0</v>
      </c>
      <c r="O92" s="24"/>
      <c r="P92" s="24">
        <f>SUMIFS(Journal!$D$4:$D$9283,Journal!$B$4:$B$9283,P$8,Journal!$C$4:$C$9283,$B91)</f>
        <v>0</v>
      </c>
      <c r="Q92" s="24"/>
      <c r="R92" s="24">
        <f>SUMIFS(Journal!$D$4:$D$9283,Journal!$B$4:$B$9283,R$8,Journal!$C$4:$C$9283,$B91)</f>
        <v>0</v>
      </c>
      <c r="S92" s="24"/>
      <c r="T92" s="24">
        <f>SUMIFS(Journal!$D$4:$D$9283,Journal!$B$4:$B$9283,T$8,Journal!$C$4:$C$9283,$B91)</f>
        <v>0</v>
      </c>
      <c r="U92" s="27" t="str">
        <f t="shared" si="7"/>
        <v/>
      </c>
    </row>
    <row r="93" spans="1:21" ht="15" customHeight="1" x14ac:dyDescent="0.25">
      <c r="A93" s="41"/>
      <c r="B93" s="50" t="str">
        <f>Base!G33</f>
        <v>54 Procédure d'installation</v>
      </c>
      <c r="C93" s="21" t="str">
        <f>A$5</f>
        <v>Prévu</v>
      </c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22" t="str">
        <f t="shared" si="7"/>
        <v/>
      </c>
    </row>
    <row r="94" spans="1:21" ht="15" customHeight="1" thickBot="1" x14ac:dyDescent="0.3">
      <c r="A94" s="41"/>
      <c r="B94" s="30"/>
      <c r="C94" s="23" t="str">
        <f>A$6</f>
        <v>Réalisé</v>
      </c>
      <c r="D94" s="24">
        <f>SUMIFS(Journal!$D$4:$D$9283,Journal!$B$4:$B$9283,D$8,Journal!$C$4:$C$9283,$B93)</f>
        <v>0</v>
      </c>
      <c r="E94" s="24"/>
      <c r="F94" s="24">
        <f>SUMIFS(Journal!$D$4:$D$9283,Journal!$B$4:$B$9283,F$8,Journal!$C$4:$C$9283,$B93)</f>
        <v>0</v>
      </c>
      <c r="G94" s="24"/>
      <c r="H94" s="24">
        <f>SUMIFS(Journal!$D$4:$D$9283,Journal!$B$4:$B$9283,H$8,Journal!$C$4:$C$9283,$B93)</f>
        <v>0</v>
      </c>
      <c r="I94" s="24"/>
      <c r="J94" s="24">
        <f>SUMIFS(Journal!$D$4:$D$9283,Journal!$B$4:$B$9283,J$8,Journal!$C$4:$C$9283,$B93)</f>
        <v>0</v>
      </c>
      <c r="K94" s="24"/>
      <c r="L94" s="24">
        <f>SUMIFS(Journal!$D$4:$D$9283,Journal!$B$4:$B$9283,L$8,Journal!$C$4:$C$9283,$B93)</f>
        <v>0</v>
      </c>
      <c r="M94" s="24"/>
      <c r="N94" s="24">
        <f>SUMIFS(Journal!$D$4:$D$9283,Journal!$B$4:$B$9283,N$8,Journal!$C$4:$C$9283,$B93)</f>
        <v>0</v>
      </c>
      <c r="O94" s="24"/>
      <c r="P94" s="24">
        <f>SUMIFS(Journal!$D$4:$D$9283,Journal!$B$4:$B$9283,P$8,Journal!$C$4:$C$9283,$B93)</f>
        <v>0</v>
      </c>
      <c r="Q94" s="24"/>
      <c r="R94" s="24">
        <f>SUMIFS(Journal!$D$4:$D$9283,Journal!$B$4:$B$9283,R$8,Journal!$C$4:$C$9283,$B93)</f>
        <v>0</v>
      </c>
      <c r="S94" s="24"/>
      <c r="T94" s="24">
        <f>SUMIFS(Journal!$D$4:$D$9283,Journal!$B$4:$B$9283,T$8,Journal!$C$4:$C$9283,$B93)</f>
        <v>0</v>
      </c>
      <c r="U94" s="27" t="str">
        <f t="shared" si="7"/>
        <v/>
      </c>
    </row>
    <row r="95" spans="1:21" ht="15" customHeight="1" x14ac:dyDescent="0.25">
      <c r="A95" s="41"/>
      <c r="B95" s="50" t="str">
        <f>Base!G34</f>
        <v>55 Procédure de mise en service</v>
      </c>
      <c r="C95" s="21" t="str">
        <f>A$5</f>
        <v>Prévu</v>
      </c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22" t="str">
        <f t="shared" si="7"/>
        <v/>
      </c>
    </row>
    <row r="96" spans="1:21" ht="15" customHeight="1" thickBot="1" x14ac:dyDescent="0.3">
      <c r="A96" s="41"/>
      <c r="B96" s="30"/>
      <c r="C96" s="23" t="str">
        <f>A$6</f>
        <v>Réalisé</v>
      </c>
      <c r="D96" s="24">
        <f>SUMIFS(Journal!$D$4:$D$9283,Journal!$B$4:$B$9283,D$8,Journal!$C$4:$C$9283,$B95)</f>
        <v>0</v>
      </c>
      <c r="E96" s="24"/>
      <c r="F96" s="24">
        <f>SUMIFS(Journal!$D$4:$D$9283,Journal!$B$4:$B$9283,F$8,Journal!$C$4:$C$9283,$B95)</f>
        <v>0</v>
      </c>
      <c r="G96" s="24"/>
      <c r="H96" s="24">
        <f>SUMIFS(Journal!$D$4:$D$9283,Journal!$B$4:$B$9283,H$8,Journal!$C$4:$C$9283,$B95)</f>
        <v>0</v>
      </c>
      <c r="I96" s="24"/>
      <c r="J96" s="24">
        <f>SUMIFS(Journal!$D$4:$D$9283,Journal!$B$4:$B$9283,J$8,Journal!$C$4:$C$9283,$B95)</f>
        <v>0</v>
      </c>
      <c r="K96" s="24"/>
      <c r="L96" s="24">
        <f>SUMIFS(Journal!$D$4:$D$9283,Journal!$B$4:$B$9283,L$8,Journal!$C$4:$C$9283,$B95)</f>
        <v>0</v>
      </c>
      <c r="M96" s="24"/>
      <c r="N96" s="24">
        <f>SUMIFS(Journal!$D$4:$D$9283,Journal!$B$4:$B$9283,N$8,Journal!$C$4:$C$9283,$B95)</f>
        <v>0</v>
      </c>
      <c r="O96" s="24"/>
      <c r="P96" s="24">
        <f>SUMIFS(Journal!$D$4:$D$9283,Journal!$B$4:$B$9283,P$8,Journal!$C$4:$C$9283,$B95)</f>
        <v>0</v>
      </c>
      <c r="Q96" s="24"/>
      <c r="R96" s="24">
        <f>SUMIFS(Journal!$D$4:$D$9283,Journal!$B$4:$B$9283,R$8,Journal!$C$4:$C$9283,$B95)</f>
        <v>0</v>
      </c>
      <c r="S96" s="24"/>
      <c r="T96" s="24">
        <f>SUMIFS(Journal!$D$4:$D$9283,Journal!$B$4:$B$9283,T$8,Journal!$C$4:$C$9283,$B95)</f>
        <v>0</v>
      </c>
      <c r="U96" s="27" t="str">
        <f t="shared" si="7"/>
        <v/>
      </c>
    </row>
    <row r="97" spans="1:21" ht="15" customHeight="1" x14ac:dyDescent="0.25">
      <c r="A97" s="41"/>
      <c r="B97" s="50" t="str">
        <f>Base!G35</f>
        <v>56 Commentaires du code</v>
      </c>
      <c r="C97" s="21" t="str">
        <f>A$5</f>
        <v>Prévu</v>
      </c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22" t="str">
        <f t="shared" si="7"/>
        <v/>
      </c>
    </row>
    <row r="98" spans="1:21" ht="15" customHeight="1" x14ac:dyDescent="0.25">
      <c r="A98" s="41"/>
      <c r="B98" s="30"/>
      <c r="C98" s="23" t="str">
        <f>A$6</f>
        <v>Réalisé</v>
      </c>
      <c r="D98" s="24">
        <f>SUMIFS(Journal!$D$4:$D$9283,Journal!$B$4:$B$9283,D$8,Journal!$C$4:$C$9283,$B97)</f>
        <v>0</v>
      </c>
      <c r="E98" s="24"/>
      <c r="F98" s="24">
        <f>SUMIFS(Journal!$D$4:$D$9283,Journal!$B$4:$B$9283,F$8,Journal!$C$4:$C$9283,$B97)</f>
        <v>0</v>
      </c>
      <c r="G98" s="24"/>
      <c r="H98" s="24">
        <f>SUMIFS(Journal!$D$4:$D$9283,Journal!$B$4:$B$9283,H$8,Journal!$C$4:$C$9283,$B97)</f>
        <v>0</v>
      </c>
      <c r="I98" s="24"/>
      <c r="J98" s="24">
        <f>SUMIFS(Journal!$D$4:$D$9283,Journal!$B$4:$B$9283,J$8,Journal!$C$4:$C$9283,$B97)</f>
        <v>0</v>
      </c>
      <c r="K98" s="24"/>
      <c r="L98" s="24">
        <f>SUMIFS(Journal!$D$4:$D$9283,Journal!$B$4:$B$9283,L$8,Journal!$C$4:$C$9283,$B97)</f>
        <v>0</v>
      </c>
      <c r="M98" s="24"/>
      <c r="N98" s="24">
        <f>SUMIFS(Journal!$D$4:$D$9283,Journal!$B$4:$B$9283,N$8,Journal!$C$4:$C$9283,$B97)</f>
        <v>0</v>
      </c>
      <c r="O98" s="24"/>
      <c r="P98" s="24">
        <f>SUMIFS(Journal!$D$4:$D$9283,Journal!$B$4:$B$9283,P$8,Journal!$C$4:$C$9283,$B97)</f>
        <v>0</v>
      </c>
      <c r="Q98" s="24"/>
      <c r="R98" s="24">
        <f>SUMIFS(Journal!$D$4:$D$9283,Journal!$B$4:$B$9283,R$8,Journal!$C$4:$C$9283,$B97)</f>
        <v>0</v>
      </c>
      <c r="S98" s="24"/>
      <c r="T98" s="24">
        <f>SUMIFS(Journal!$D$4:$D$9283,Journal!$B$4:$B$9283,T$8,Journal!$C$4:$C$9283,$B97)</f>
        <v>0</v>
      </c>
      <c r="U98" s="27" t="str">
        <f t="shared" si="7"/>
        <v/>
      </c>
    </row>
  </sheetData>
  <mergeCells count="18">
    <mergeCell ref="A71:T72"/>
    <mergeCell ref="A85:T86"/>
    <mergeCell ref="B25:B26"/>
    <mergeCell ref="B27:B28"/>
    <mergeCell ref="B29:B30"/>
    <mergeCell ref="B31:B32"/>
    <mergeCell ref="B33:B34"/>
    <mergeCell ref="B35:B36"/>
    <mergeCell ref="D3:T3"/>
    <mergeCell ref="A9:T10"/>
    <mergeCell ref="A23:T24"/>
    <mergeCell ref="A57:T58"/>
    <mergeCell ref="B11:B12"/>
    <mergeCell ref="B13:B14"/>
    <mergeCell ref="B15:B16"/>
    <mergeCell ref="B17:B18"/>
    <mergeCell ref="B19:B20"/>
    <mergeCell ref="B21:B22"/>
  </mergeCells>
  <conditionalFormatting sqref="B5">
    <cfRule type="colorScale" priority="143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2" priority="1423" stopIfTrue="1" operator="greaterThan">
      <formula>0</formula>
    </cfRule>
  </conditionalFormatting>
  <conditionalFormatting sqref="L17:T17 L21:T21 S15:T15 D31:T31 D33:T33 D35:T35 D27:T27 D25:T25 D29:T29 E13:T13 E15:Q15 E11:T11 D45:T45 D41:T41 D39:T39 D43:T43 D65:T65 D67:T67 D69:T69 D61:T61 D59:T59 D63:T63 D79:T79 D81:T81 D83:T83 D75:T75 D73:T73 D77:T77 D93:T93 D95:T95 D97:T97 D89:T89 D91:T91 D47:T47 D55:T55 D87:T87">
    <cfRule type="cellIs" dxfId="121" priority="826" operator="greaterThan">
      <formula>0</formula>
    </cfRule>
  </conditionalFormatting>
  <conditionalFormatting sqref="L18:T18 L22:T22 D36:T36 D34:T34 D32:T32 D26:T26 D28:T28 D30:T30 E16:T16 E12:T12 E14:T14 D46:T46 D40:T40 D42:T42 D44:T44 D70:T70 D68:T68 D66:T66 D60:T60 D62:T62 D64:T64 D84:T84 D82:T82 D80:T80 D74:T74 D76:T76 D78:T78 D98:T98 D96:T96 D94:T94 D92:T92 D56:T56 D48:T48 D88:T88 D90:T90">
    <cfRule type="cellIs" dxfId="120" priority="814" operator="greaterThan">
      <formula>0</formula>
    </cfRule>
  </conditionalFormatting>
  <conditionalFormatting sqref="H5">
    <cfRule type="colorScale" priority="60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9" priority="601" stopIfTrue="1" operator="greaterThan">
      <formula>0</formula>
    </cfRule>
  </conditionalFormatting>
  <conditionalFormatting sqref="L20:T20">
    <cfRule type="cellIs" dxfId="118" priority="565" operator="greaterThan">
      <formula>0</formula>
    </cfRule>
  </conditionalFormatting>
  <conditionalFormatting sqref="L19:Q19 S19">
    <cfRule type="cellIs" dxfId="117" priority="567" operator="greaterThan">
      <formula>0</formula>
    </cfRule>
  </conditionalFormatting>
  <conditionalFormatting sqref="U11 U13 U15 U17 U21">
    <cfRule type="cellIs" dxfId="116" priority="398" operator="greaterThan">
      <formula>0</formula>
    </cfRule>
  </conditionalFormatting>
  <conditionalFormatting sqref="U12 U14 U16 U18 U22">
    <cfRule type="cellIs" dxfId="115" priority="397" operator="greaterThan">
      <formula>0</formula>
    </cfRule>
  </conditionalFormatting>
  <conditionalFormatting sqref="U83">
    <cfRule type="cellIs" dxfId="114" priority="372" operator="greaterThan">
      <formula>0</formula>
    </cfRule>
  </conditionalFormatting>
  <conditionalFormatting sqref="U97 U95 U93 U91 U89 U87 U81 U79 U77 U75 U73 U69 U67 U65 U63 U61 U59 U55 U47 U45 U43 U41 U39 U19">
    <cfRule type="cellIs" dxfId="113" priority="346" operator="greaterThan">
      <formula>0</formula>
    </cfRule>
  </conditionalFormatting>
  <conditionalFormatting sqref="U98 U96 U94 U92 U90 U88 U84 U82 U80 U78 U76 U74 U70 U68 U66 U64 U62 U60 U56 U48 U46 U44 U42 U40 U20">
    <cfRule type="cellIs" dxfId="112" priority="345" operator="greaterThan">
      <formula>0</formula>
    </cfRule>
  </conditionalFormatting>
  <conditionalFormatting sqref="R19">
    <cfRule type="cellIs" dxfId="111" priority="325" operator="greaterThan">
      <formula>0</formula>
    </cfRule>
  </conditionalFormatting>
  <conditionalFormatting sqref="T19">
    <cfRule type="cellIs" dxfId="110" priority="332" operator="greaterThan">
      <formula>0</formula>
    </cfRule>
  </conditionalFormatting>
  <conditionalFormatting sqref="H5">
    <cfRule type="colorScale" priority="2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9" priority="245" stopIfTrue="1" operator="greaterThan">
      <formula>0</formula>
    </cfRule>
  </conditionalFormatting>
  <conditionalFormatting sqref="E6:E7">
    <cfRule type="cellIs" dxfId="108" priority="244" stopIfTrue="1" operator="greaterThan">
      <formula>0</formula>
    </cfRule>
  </conditionalFormatting>
  <conditionalFormatting sqref="D13 D15 D11">
    <cfRule type="cellIs" dxfId="107" priority="233" operator="greaterThan">
      <formula>0</formula>
    </cfRule>
  </conditionalFormatting>
  <conditionalFormatting sqref="D16 D12 D14">
    <cfRule type="cellIs" dxfId="106" priority="232" operator="greaterThan">
      <formula>0</formula>
    </cfRule>
  </conditionalFormatting>
  <conditionalFormatting sqref="E19:K19 E21:K21 E17:K17">
    <cfRule type="cellIs" dxfId="105" priority="225" operator="greaterThan">
      <formula>0</formula>
    </cfRule>
  </conditionalFormatting>
  <conditionalFormatting sqref="E22:K22 E18:K18 E20:K20">
    <cfRule type="cellIs" dxfId="104" priority="224" operator="greaterThan">
      <formula>0</formula>
    </cfRule>
  </conditionalFormatting>
  <conditionalFormatting sqref="D19 D21 D17">
    <cfRule type="cellIs" dxfId="103" priority="223" operator="greaterThan">
      <formula>0</formula>
    </cfRule>
  </conditionalFormatting>
  <conditionalFormatting sqref="D22 D18 D20">
    <cfRule type="cellIs" dxfId="102" priority="222" operator="greaterThan">
      <formula>0</formula>
    </cfRule>
  </conditionalFormatting>
  <conditionalFormatting sqref="F5">
    <cfRule type="colorScale" priority="17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1" priority="170" stopIfTrue="1" operator="greaterThan">
      <formula>0</formula>
    </cfRule>
  </conditionalFormatting>
  <conditionalFormatting sqref="F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0" priority="168" stopIfTrue="1" operator="greaterThan">
      <formula>0</formula>
    </cfRule>
  </conditionalFormatting>
  <conditionalFormatting sqref="D5">
    <cfRule type="colorScale" priority="1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99" priority="166" stopIfTrue="1" operator="greaterThan">
      <formula>0</formula>
    </cfRule>
  </conditionalFormatting>
  <conditionalFormatting sqref="D5">
    <cfRule type="colorScale" priority="1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98" priority="164" stopIfTrue="1" operator="greaterThan">
      <formula>0</formula>
    </cfRule>
  </conditionalFormatting>
  <conditionalFormatting sqref="G6:G7">
    <cfRule type="cellIs" dxfId="97" priority="163" stopIfTrue="1" operator="greaterThan">
      <formula>0</formula>
    </cfRule>
  </conditionalFormatting>
  <conditionalFormatting sqref="H5">
    <cfRule type="colorScale" priority="16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6" priority="161" stopIfTrue="1" operator="greaterThan">
      <formula>0</formula>
    </cfRule>
  </conditionalFormatting>
  <conditionalFormatting sqref="H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5" priority="159" stopIfTrue="1" operator="greaterThan">
      <formula>0</formula>
    </cfRule>
  </conditionalFormatting>
  <conditionalFormatting sqref="F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4" priority="157" stopIfTrue="1" operator="greaterThan">
      <formula>0</formula>
    </cfRule>
  </conditionalFormatting>
  <conditionalFormatting sqref="F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3" priority="155" stopIfTrue="1" operator="greaterThan">
      <formula>0</formula>
    </cfRule>
  </conditionalFormatting>
  <conditionalFormatting sqref="G6:G7">
    <cfRule type="cellIs" dxfId="92" priority="154" stopIfTrue="1" operator="greaterThan">
      <formula>0</formula>
    </cfRule>
  </conditionalFormatting>
  <conditionalFormatting sqref="H5">
    <cfRule type="colorScale" priority="1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1" priority="152" stopIfTrue="1" operator="greaterThan">
      <formula>0</formula>
    </cfRule>
  </conditionalFormatting>
  <conditionalFormatting sqref="H5">
    <cfRule type="colorScale" priority="1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0" priority="150" stopIfTrue="1" operator="greaterThan">
      <formula>0</formula>
    </cfRule>
  </conditionalFormatting>
  <conditionalFormatting sqref="F5">
    <cfRule type="colorScale" priority="1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9" priority="148" stopIfTrue="1" operator="greaterThan">
      <formula>0</formula>
    </cfRule>
  </conditionalFormatting>
  <conditionalFormatting sqref="F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8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7" priority="144" stopIfTrue="1" operator="greaterThan">
      <formula>0</formula>
    </cfRule>
  </conditionalFormatting>
  <conditionalFormatting sqref="H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6" priority="142" stopIfTrue="1" operator="greaterThan">
      <formula>0</formula>
    </cfRule>
  </conditionalFormatting>
  <conditionalFormatting sqref="G6:G7">
    <cfRule type="cellIs" dxfId="85" priority="141" stopIfTrue="1" operator="greaterThan">
      <formula>0</formula>
    </cfRule>
  </conditionalFormatting>
  <conditionalFormatting sqref="H5">
    <cfRule type="colorScale" priority="1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39" stopIfTrue="1" operator="greaterThan">
      <formula>0</formula>
    </cfRule>
  </conditionalFormatting>
  <conditionalFormatting sqref="H5">
    <cfRule type="colorScale" priority="13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37" stopIfTrue="1" operator="greaterThan">
      <formula>0</formula>
    </cfRule>
  </conditionalFormatting>
  <conditionalFormatting sqref="F5">
    <cfRule type="colorScale" priority="13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2" priority="135" stopIfTrue="1" operator="greaterThan">
      <formula>0</formula>
    </cfRule>
  </conditionalFormatting>
  <conditionalFormatting sqref="F5">
    <cfRule type="colorScale" priority="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1" priority="133" stopIfTrue="1" operator="greaterThan">
      <formula>0</formula>
    </cfRule>
  </conditionalFormatting>
  <conditionalFormatting sqref="H5">
    <cfRule type="colorScale" priority="13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0" priority="131" stopIfTrue="1" operator="greaterThan">
      <formula>0</formula>
    </cfRule>
  </conditionalFormatting>
  <conditionalFormatting sqref="H5">
    <cfRule type="colorScale" priority="1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9" priority="129" stopIfTrue="1" operator="greaterThan">
      <formula>0</formula>
    </cfRule>
  </conditionalFormatting>
  <conditionalFormatting sqref="H5">
    <cfRule type="colorScale" priority="12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8" priority="127" stopIfTrue="1" operator="greaterThan">
      <formula>0</formula>
    </cfRule>
  </conditionalFormatting>
  <conditionalFormatting sqref="H5">
    <cfRule type="colorScale" priority="12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7" priority="125" stopIfTrue="1" operator="greaterThan">
      <formula>0</formula>
    </cfRule>
  </conditionalFormatting>
  <conditionalFormatting sqref="M6:M7">
    <cfRule type="cellIs" dxfId="76" priority="124" stopIfTrue="1" operator="greaterThan">
      <formula>0</formula>
    </cfRule>
  </conditionalFormatting>
  <conditionalFormatting sqref="N5">
    <cfRule type="colorScale" priority="12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5" priority="122" stopIfTrue="1" operator="greaterThan">
      <formula>0</formula>
    </cfRule>
  </conditionalFormatting>
  <conditionalFormatting sqref="N5">
    <cfRule type="colorScale" priority="12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4" priority="120" stopIfTrue="1" operator="greaterThan">
      <formula>0</formula>
    </cfRule>
  </conditionalFormatting>
  <conditionalFormatting sqref="K6:K7">
    <cfRule type="cellIs" dxfId="73" priority="119" stopIfTrue="1" operator="greaterThan">
      <formula>0</formula>
    </cfRule>
  </conditionalFormatting>
  <conditionalFormatting sqref="L5">
    <cfRule type="colorScale" priority="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2" priority="117" stopIfTrue="1" operator="greaterThan">
      <formula>0</formula>
    </cfRule>
  </conditionalFormatting>
  <conditionalFormatting sqref="L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1" priority="115" stopIfTrue="1" operator="greaterThan">
      <formula>0</formula>
    </cfRule>
  </conditionalFormatting>
  <conditionalFormatting sqref="J5">
    <cfRule type="colorScale" priority="1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0" priority="113" stopIfTrue="1" operator="greaterThan">
      <formula>0</formula>
    </cfRule>
  </conditionalFormatting>
  <conditionalFormatting sqref="J5">
    <cfRule type="colorScale" priority="11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69" priority="111" stopIfTrue="1" operator="greaterThan">
      <formula>0</formula>
    </cfRule>
  </conditionalFormatting>
  <conditionalFormatting sqref="M6:M7">
    <cfRule type="cellIs" dxfId="68" priority="110" stopIfTrue="1" operator="greaterThan">
      <formula>0</formula>
    </cfRule>
  </conditionalFormatting>
  <conditionalFormatting sqref="N5">
    <cfRule type="colorScale" priority="1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7" priority="108" stopIfTrue="1" operator="greaterThan">
      <formula>0</formula>
    </cfRule>
  </conditionalFormatting>
  <conditionalFormatting sqref="N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6" priority="106" stopIfTrue="1" operator="greaterThan">
      <formula>0</formula>
    </cfRule>
  </conditionalFormatting>
  <conditionalFormatting sqref="L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5" priority="104" stopIfTrue="1" operator="greaterThan">
      <formula>0</formula>
    </cfRule>
  </conditionalFormatting>
  <conditionalFormatting sqref="L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4" priority="102" stopIfTrue="1" operator="greaterThan">
      <formula>0</formula>
    </cfRule>
  </conditionalFormatting>
  <conditionalFormatting sqref="M6:M7">
    <cfRule type="cellIs" dxfId="63" priority="101" stopIfTrue="1" operator="greaterThan">
      <formula>0</formula>
    </cfRule>
  </conditionalFormatting>
  <conditionalFormatting sqref="N5">
    <cfRule type="colorScale" priority="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2" priority="99" stopIfTrue="1" operator="greaterThan">
      <formula>0</formula>
    </cfRule>
  </conditionalFormatting>
  <conditionalFormatting sqref="N5">
    <cfRule type="colorScale" priority="9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1" priority="97" stopIfTrue="1" operator="greaterThan">
      <formula>0</formula>
    </cfRule>
  </conditionalFormatting>
  <conditionalFormatting sqref="L5">
    <cfRule type="colorScale" priority="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0" priority="95" stopIfTrue="1" operator="greaterThan">
      <formula>0</formula>
    </cfRule>
  </conditionalFormatting>
  <conditionalFormatting sqref="L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9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8" priority="91" stopIfTrue="1" operator="greaterThan">
      <formula>0</formula>
    </cfRule>
  </conditionalFormatting>
  <conditionalFormatting sqref="N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7" priority="89" stopIfTrue="1" operator="greaterThan">
      <formula>0</formula>
    </cfRule>
  </conditionalFormatting>
  <conditionalFormatting sqref="M6:M7">
    <cfRule type="cellIs" dxfId="56" priority="88" stopIfTrue="1" operator="greaterThan">
      <formula>0</formula>
    </cfRule>
  </conditionalFormatting>
  <conditionalFormatting sqref="N5">
    <cfRule type="colorScale" priority="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86" stopIfTrue="1" operator="greaterThan">
      <formula>0</formula>
    </cfRule>
  </conditionalFormatting>
  <conditionalFormatting sqref="N5">
    <cfRule type="colorScale" priority="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84" stopIfTrue="1" operator="greaterThan">
      <formula>0</formula>
    </cfRule>
  </conditionalFormatting>
  <conditionalFormatting sqref="L5">
    <cfRule type="colorScale" priority="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3" priority="82" stopIfTrue="1" operator="greaterThan">
      <formula>0</formula>
    </cfRule>
  </conditionalFormatting>
  <conditionalFormatting sqref="L5">
    <cfRule type="colorScale" priority="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2" priority="80" stopIfTrue="1" operator="greaterThan">
      <formula>0</formula>
    </cfRule>
  </conditionalFormatting>
  <conditionalFormatting sqref="N5">
    <cfRule type="colorScale" priority="7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1" priority="78" stopIfTrue="1" operator="greaterThan">
      <formula>0</formula>
    </cfRule>
  </conditionalFormatting>
  <conditionalFormatting sqref="N5">
    <cfRule type="colorScale" priority="7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0" priority="76" stopIfTrue="1" operator="greaterThan">
      <formula>0</formula>
    </cfRule>
  </conditionalFormatting>
  <conditionalFormatting sqref="N5">
    <cfRule type="colorScale" priority="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9" priority="74" stopIfTrue="1" operator="greaterThan">
      <formula>0</formula>
    </cfRule>
  </conditionalFormatting>
  <conditionalFormatting sqref="N5">
    <cfRule type="colorScale" priority="7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8" priority="72" stopIfTrue="1" operator="greaterThan">
      <formula>0</formula>
    </cfRule>
  </conditionalFormatting>
  <conditionalFormatting sqref="S6:S7">
    <cfRule type="cellIs" dxfId="47" priority="71" stopIfTrue="1" operator="greaterThan">
      <formula>0</formula>
    </cfRule>
  </conditionalFormatting>
  <conditionalFormatting sqref="T5">
    <cfRule type="colorScale" priority="7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6" priority="69" stopIfTrue="1" operator="greaterThan">
      <formula>0</formula>
    </cfRule>
  </conditionalFormatting>
  <conditionalFormatting sqref="T5">
    <cfRule type="colorScale" priority="6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5" priority="67" stopIfTrue="1" operator="greaterThan">
      <formula>0</formula>
    </cfRule>
  </conditionalFormatting>
  <conditionalFormatting sqref="Q6:Q7">
    <cfRule type="cellIs" dxfId="44" priority="66" stopIfTrue="1" operator="greaterThan">
      <formula>0</formula>
    </cfRule>
  </conditionalFormatting>
  <conditionalFormatting sqref="R5">
    <cfRule type="colorScale" priority="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3" priority="64" stopIfTrue="1" operator="greaterThan">
      <formula>0</formula>
    </cfRule>
  </conditionalFormatting>
  <conditionalFormatting sqref="R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2" priority="62" stopIfTrue="1" operator="greaterThan">
      <formula>0</formula>
    </cfRule>
  </conditionalFormatting>
  <conditionalFormatting sqref="P5">
    <cfRule type="colorScale" priority="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1" priority="60" stopIfTrue="1" operator="greaterThan">
      <formula>0</formula>
    </cfRule>
  </conditionalFormatting>
  <conditionalFormatting sqref="P5">
    <cfRule type="colorScale" priority="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0" priority="58" stopIfTrue="1" operator="greaterThan">
      <formula>0</formula>
    </cfRule>
  </conditionalFormatting>
  <conditionalFormatting sqref="S6:S7">
    <cfRule type="cellIs" dxfId="39" priority="57" stopIfTrue="1" operator="greaterThan">
      <formula>0</formula>
    </cfRule>
  </conditionalFormatting>
  <conditionalFormatting sqref="T5">
    <cfRule type="colorScale" priority="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8" priority="55" stopIfTrue="1" operator="greaterThan">
      <formula>0</formula>
    </cfRule>
  </conditionalFormatting>
  <conditionalFormatting sqref="T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7" priority="53" stopIfTrue="1" operator="greaterThan">
      <formula>0</formula>
    </cfRule>
  </conditionalFormatting>
  <conditionalFormatting sqref="R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6" priority="51" stopIfTrue="1" operator="greaterThan">
      <formula>0</formula>
    </cfRule>
  </conditionalFormatting>
  <conditionalFormatting sqref="R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5" priority="49" stopIfTrue="1" operator="greaterThan">
      <formula>0</formula>
    </cfRule>
  </conditionalFormatting>
  <conditionalFormatting sqref="S6:S7">
    <cfRule type="cellIs" dxfId="34" priority="48" stopIfTrue="1" operator="greaterThan">
      <formula>0</formula>
    </cfRule>
  </conditionalFormatting>
  <conditionalFormatting sqref="T5">
    <cfRule type="colorScale" priority="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3" priority="46" stopIfTrue="1" operator="greaterThan">
      <formula>0</formula>
    </cfRule>
  </conditionalFormatting>
  <conditionalFormatting sqref="T5">
    <cfRule type="colorScale" priority="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2" priority="44" stopIfTrue="1" operator="greaterThan">
      <formula>0</formula>
    </cfRule>
  </conditionalFormatting>
  <conditionalFormatting sqref="R5">
    <cfRule type="colorScale" priority="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1" priority="42" stopIfTrue="1" operator="greaterThan">
      <formula>0</formula>
    </cfRule>
  </conditionalFormatting>
  <conditionalFormatting sqref="R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0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9" priority="38" stopIfTrue="1" operator="greaterThan">
      <formula>0</formula>
    </cfRule>
  </conditionalFormatting>
  <conditionalFormatting sqref="T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8" priority="36" stopIfTrue="1" operator="greaterThan">
      <formula>0</formula>
    </cfRule>
  </conditionalFormatting>
  <conditionalFormatting sqref="S6:S7">
    <cfRule type="cellIs" dxfId="27" priority="35" stopIfTrue="1" operator="greaterThan">
      <formula>0</formula>
    </cfRule>
  </conditionalFormatting>
  <conditionalFormatting sqref="T5">
    <cfRule type="colorScale" priority="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33" stopIfTrue="1" operator="greaterThan">
      <formula>0</formula>
    </cfRule>
  </conditionalFormatting>
  <conditionalFormatting sqref="T5">
    <cfRule type="colorScale" priority="3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31" stopIfTrue="1" operator="greaterThan">
      <formula>0</formula>
    </cfRule>
  </conditionalFormatting>
  <conditionalFormatting sqref="R5">
    <cfRule type="colorScale" priority="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4" priority="29" stopIfTrue="1" operator="greaterThan">
      <formula>0</formula>
    </cfRule>
  </conditionalFormatting>
  <conditionalFormatting sqref="R5">
    <cfRule type="colorScale" priority="2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3" priority="27" stopIfTrue="1" operator="greaterThan">
      <formula>0</formula>
    </cfRule>
  </conditionalFormatting>
  <conditionalFormatting sqref="T5">
    <cfRule type="colorScale" priority="2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2" priority="25" stopIfTrue="1" operator="greaterThan">
      <formula>0</formula>
    </cfRule>
  </conditionalFormatting>
  <conditionalFormatting sqref="T5">
    <cfRule type="colorScale" priority="2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1" priority="23" stopIfTrue="1" operator="greaterThan">
      <formula>0</formula>
    </cfRule>
  </conditionalFormatting>
  <conditionalFormatting sqref="T5">
    <cfRule type="colorScale" priority="2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0" priority="21" stopIfTrue="1" operator="greaterThan">
      <formula>0</formula>
    </cfRule>
  </conditionalFormatting>
  <conditionalFormatting sqref="T5">
    <cfRule type="colorScale" priority="2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9" priority="19" stopIfTrue="1" operator="greaterThan">
      <formula>0</formula>
    </cfRule>
  </conditionalFormatting>
  <conditionalFormatting sqref="D49:T49">
    <cfRule type="cellIs" dxfId="18" priority="18" operator="greaterThan">
      <formula>0</formula>
    </cfRule>
  </conditionalFormatting>
  <conditionalFormatting sqref="U49">
    <cfRule type="cellIs" dxfId="16" priority="16" operator="greaterThan">
      <formula>0</formula>
    </cfRule>
  </conditionalFormatting>
  <conditionalFormatting sqref="U50">
    <cfRule type="cellIs" dxfId="15" priority="15" operator="greaterThan">
      <formula>0</formula>
    </cfRule>
  </conditionalFormatting>
  <conditionalFormatting sqref="D51:T51">
    <cfRule type="cellIs" dxfId="14" priority="14" operator="greaterThan">
      <formula>0</formula>
    </cfRule>
  </conditionalFormatting>
  <conditionalFormatting sqref="D52:T52">
    <cfRule type="cellIs" dxfId="10" priority="7" operator="greaterThan">
      <formula>0</formula>
    </cfRule>
  </conditionalFormatting>
  <conditionalFormatting sqref="D50:T50">
    <cfRule type="cellIs" dxfId="9" priority="9" operator="greaterThan">
      <formula>0</formula>
    </cfRule>
  </conditionalFormatting>
  <conditionalFormatting sqref="D53:T53">
    <cfRule type="cellIs" dxfId="6" priority="6" operator="greaterThan">
      <formula>0</formula>
    </cfRule>
  </conditionalFormatting>
  <conditionalFormatting sqref="D54:T54">
    <cfRule type="cellIs" dxfId="5" priority="5" operator="greaterThan">
      <formula>0</formula>
    </cfRule>
  </conditionalFormatting>
  <conditionalFormatting sqref="U53">
    <cfRule type="cellIs" dxfId="4" priority="4" operator="greaterThan">
      <formula>0</formula>
    </cfRule>
  </conditionalFormatting>
  <conditionalFormatting sqref="U54">
    <cfRule type="cellIs" dxfId="3" priority="3" operator="greaterThan">
      <formula>0</formula>
    </cfRule>
  </conditionalFormatting>
  <conditionalFormatting sqref="U52">
    <cfRule type="cellIs" dxfId="2" priority="2" operator="greaterThan">
      <formula>0</formula>
    </cfRule>
  </conditionalFormatting>
  <conditionalFormatting sqref="U51">
    <cfRule type="cellIs" dxfId="1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4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A1:E48"/>
  <sheetViews>
    <sheetView workbookViewId="0">
      <pane ySplit="3" topLeftCell="A4" activePane="bottomLeft" state="frozen"/>
      <selection pane="bottomLeft" activeCell="C5" sqref="C5"/>
    </sheetView>
  </sheetViews>
  <sheetFormatPr baseColWidth="10" defaultRowHeight="15" x14ac:dyDescent="0.25"/>
  <cols>
    <col min="3" max="3" width="31.7109375" customWidth="1"/>
    <col min="4" max="4" width="11" customWidth="1"/>
    <col min="5" max="5" width="50.42578125" customWidth="1"/>
  </cols>
  <sheetData>
    <row r="1" spans="1:5" x14ac:dyDescent="0.25">
      <c r="A1" s="49" t="s">
        <v>6</v>
      </c>
      <c r="B1" s="49"/>
      <c r="C1" s="34" t="str">
        <f>CONCATENATE(Base!C3," ",Base!D3)</f>
        <v>Costa Paola</v>
      </c>
      <c r="D1" s="2"/>
      <c r="E1" s="51">
        <f ca="1">TODAY()</f>
        <v>44228</v>
      </c>
    </row>
    <row r="2" spans="1:5" ht="15.75" thickBot="1" x14ac:dyDescent="0.3">
      <c r="A2" s="34" t="s">
        <v>12</v>
      </c>
      <c r="B2" s="2"/>
      <c r="C2" s="2"/>
      <c r="D2" s="2"/>
      <c r="E2" s="1"/>
    </row>
    <row r="3" spans="1:5" ht="15.75" thickBot="1" x14ac:dyDescent="0.3">
      <c r="A3" s="76" t="s">
        <v>1</v>
      </c>
      <c r="B3" s="76" t="s">
        <v>4</v>
      </c>
      <c r="C3" s="77" t="s">
        <v>7</v>
      </c>
      <c r="D3" s="76" t="s">
        <v>2</v>
      </c>
      <c r="E3" s="78" t="s">
        <v>3</v>
      </c>
    </row>
    <row r="4" spans="1:5" x14ac:dyDescent="0.25">
      <c r="A4" s="71">
        <v>44228</v>
      </c>
      <c r="B4" s="72">
        <f>WEEKNUM(A4,1)</f>
        <v>6</v>
      </c>
      <c r="C4" s="73" t="s">
        <v>56</v>
      </c>
      <c r="D4" s="74">
        <v>4.1666666666666664E-2</v>
      </c>
      <c r="E4" s="75" t="s">
        <v>38</v>
      </c>
    </row>
    <row r="5" spans="1:5" x14ac:dyDescent="0.25">
      <c r="A5" s="48">
        <v>44228</v>
      </c>
      <c r="B5" s="3">
        <f>WEEKNUM(A5,1)</f>
        <v>6</v>
      </c>
      <c r="C5" s="46" t="s">
        <v>60</v>
      </c>
      <c r="D5" s="44">
        <v>2.0833333333333332E-2</v>
      </c>
      <c r="E5" s="47" t="s">
        <v>58</v>
      </c>
    </row>
    <row r="6" spans="1:5" x14ac:dyDescent="0.25">
      <c r="A6" s="64"/>
      <c r="B6" s="65">
        <f t="shared" ref="B6:B48" si="0">WEEKNUM(A6,1)</f>
        <v>0</v>
      </c>
      <c r="C6" s="66"/>
      <c r="D6" s="67"/>
      <c r="E6" s="68"/>
    </row>
    <row r="7" spans="1:5" x14ac:dyDescent="0.25">
      <c r="A7" s="48"/>
      <c r="B7" s="3">
        <f t="shared" si="0"/>
        <v>0</v>
      </c>
      <c r="C7" s="46"/>
      <c r="D7" s="44"/>
      <c r="E7" s="45"/>
    </row>
    <row r="8" spans="1:5" x14ac:dyDescent="0.25">
      <c r="A8" s="48"/>
      <c r="B8" s="3">
        <f t="shared" si="0"/>
        <v>0</v>
      </c>
      <c r="C8" s="46"/>
      <c r="D8" s="44"/>
      <c r="E8" s="47"/>
    </row>
    <row r="9" spans="1:5" x14ac:dyDescent="0.25">
      <c r="A9" s="48"/>
      <c r="B9" s="3">
        <f t="shared" si="0"/>
        <v>0</v>
      </c>
      <c r="C9" s="46"/>
      <c r="D9" s="44"/>
      <c r="E9" s="47"/>
    </row>
    <row r="10" spans="1:5" x14ac:dyDescent="0.25">
      <c r="A10" s="48"/>
      <c r="B10" s="3">
        <f t="shared" si="0"/>
        <v>0</v>
      </c>
      <c r="C10" s="46"/>
      <c r="D10" s="44"/>
      <c r="E10" s="47"/>
    </row>
    <row r="11" spans="1:5" x14ac:dyDescent="0.25">
      <c r="A11" s="48"/>
      <c r="B11" s="3">
        <f t="shared" si="0"/>
        <v>0</v>
      </c>
      <c r="C11" s="46"/>
      <c r="D11" s="44"/>
      <c r="E11" s="47"/>
    </row>
    <row r="12" spans="1:5" x14ac:dyDescent="0.25">
      <c r="A12" s="48"/>
      <c r="B12" s="3">
        <f t="shared" si="0"/>
        <v>0</v>
      </c>
      <c r="C12" s="46"/>
      <c r="D12" s="44"/>
      <c r="E12" s="47"/>
    </row>
    <row r="13" spans="1:5" x14ac:dyDescent="0.25">
      <c r="A13" s="48"/>
      <c r="B13" s="3">
        <f t="shared" si="0"/>
        <v>0</v>
      </c>
      <c r="C13" s="43"/>
      <c r="D13" s="44"/>
      <c r="E13" s="47"/>
    </row>
    <row r="14" spans="1:5" x14ac:dyDescent="0.25">
      <c r="A14" s="48"/>
      <c r="B14" s="3">
        <f t="shared" si="0"/>
        <v>0</v>
      </c>
      <c r="C14" s="46"/>
      <c r="D14" s="44"/>
      <c r="E14" s="47"/>
    </row>
    <row r="15" spans="1:5" x14ac:dyDescent="0.25">
      <c r="A15" s="48"/>
      <c r="B15" s="3">
        <f t="shared" si="0"/>
        <v>0</v>
      </c>
      <c r="C15" s="43"/>
      <c r="D15" s="44"/>
      <c r="E15" s="47"/>
    </row>
    <row r="16" spans="1:5" x14ac:dyDescent="0.25">
      <c r="A16" s="48"/>
      <c r="B16" s="3">
        <f t="shared" si="0"/>
        <v>0</v>
      </c>
      <c r="C16" s="46"/>
      <c r="D16" s="44"/>
      <c r="E16" s="47"/>
    </row>
    <row r="17" spans="1:5" x14ac:dyDescent="0.25">
      <c r="A17" s="48"/>
      <c r="B17" s="3">
        <f t="shared" si="0"/>
        <v>0</v>
      </c>
      <c r="C17" s="43"/>
      <c r="D17" s="44"/>
      <c r="E17" s="47"/>
    </row>
    <row r="18" spans="1:5" x14ac:dyDescent="0.25">
      <c r="A18" s="48"/>
      <c r="B18" s="3">
        <f t="shared" si="0"/>
        <v>0</v>
      </c>
      <c r="C18" s="46"/>
      <c r="D18" s="44"/>
      <c r="E18" s="47"/>
    </row>
    <row r="19" spans="1:5" ht="16.5" customHeight="1" x14ac:dyDescent="0.25">
      <c r="A19" s="48"/>
      <c r="B19" s="3">
        <f t="shared" si="0"/>
        <v>0</v>
      </c>
      <c r="C19" s="43"/>
      <c r="D19" s="44"/>
      <c r="E19" s="45"/>
    </row>
    <row r="20" spans="1:5" x14ac:dyDescent="0.25">
      <c r="A20" s="48"/>
      <c r="B20" s="3">
        <f t="shared" si="0"/>
        <v>0</v>
      </c>
      <c r="C20" s="46"/>
      <c r="D20" s="44"/>
      <c r="E20" s="47"/>
    </row>
    <row r="21" spans="1:5" x14ac:dyDescent="0.25">
      <c r="A21" s="48"/>
      <c r="B21" s="3">
        <f t="shared" si="0"/>
        <v>0</v>
      </c>
      <c r="C21" s="43"/>
      <c r="D21" s="44"/>
      <c r="E21" s="47"/>
    </row>
    <row r="22" spans="1:5" x14ac:dyDescent="0.25">
      <c r="A22" s="48"/>
      <c r="B22" s="3">
        <f t="shared" si="0"/>
        <v>0</v>
      </c>
      <c r="C22" s="46"/>
      <c r="D22" s="44"/>
      <c r="E22" s="47"/>
    </row>
    <row r="23" spans="1:5" x14ac:dyDescent="0.25">
      <c r="A23" s="48"/>
      <c r="B23" s="3">
        <f t="shared" si="0"/>
        <v>0</v>
      </c>
      <c r="C23" s="46"/>
      <c r="D23" s="44"/>
      <c r="E23" s="47"/>
    </row>
    <row r="24" spans="1:5" x14ac:dyDescent="0.25">
      <c r="A24" s="48"/>
      <c r="B24" s="3">
        <f t="shared" si="0"/>
        <v>0</v>
      </c>
      <c r="C24" s="46"/>
      <c r="D24" s="44"/>
      <c r="E24" s="47"/>
    </row>
    <row r="25" spans="1:5" x14ac:dyDescent="0.25">
      <c r="A25" s="48"/>
      <c r="B25" s="3">
        <f t="shared" si="0"/>
        <v>0</v>
      </c>
      <c r="C25" s="46"/>
      <c r="D25" s="44"/>
      <c r="E25" s="47"/>
    </row>
    <row r="26" spans="1:5" x14ac:dyDescent="0.25">
      <c r="A26" s="48"/>
      <c r="B26" s="3">
        <f t="shared" si="0"/>
        <v>0</v>
      </c>
      <c r="C26" s="43"/>
      <c r="D26" s="44"/>
      <c r="E26" s="47"/>
    </row>
    <row r="27" spans="1:5" x14ac:dyDescent="0.25">
      <c r="A27" s="48"/>
      <c r="B27" s="3">
        <f t="shared" si="0"/>
        <v>0</v>
      </c>
      <c r="C27" s="46"/>
      <c r="D27" s="44"/>
      <c r="E27" s="47"/>
    </row>
    <row r="28" spans="1:5" x14ac:dyDescent="0.25">
      <c r="A28" s="48"/>
      <c r="B28" s="3">
        <f t="shared" si="0"/>
        <v>0</v>
      </c>
      <c r="C28" s="43"/>
      <c r="D28" s="44"/>
      <c r="E28" s="47"/>
    </row>
    <row r="29" spans="1:5" x14ac:dyDescent="0.25">
      <c r="A29" s="48"/>
      <c r="B29" s="3">
        <f t="shared" si="0"/>
        <v>0</v>
      </c>
      <c r="C29" s="43"/>
      <c r="D29" s="44"/>
      <c r="E29" s="47"/>
    </row>
    <row r="30" spans="1:5" x14ac:dyDescent="0.25">
      <c r="A30" s="48"/>
      <c r="B30" s="3">
        <f t="shared" si="0"/>
        <v>0</v>
      </c>
      <c r="C30" s="43"/>
      <c r="D30" s="44"/>
      <c r="E30" s="47"/>
    </row>
    <row r="31" spans="1:5" x14ac:dyDescent="0.25">
      <c r="A31" s="48"/>
      <c r="B31" s="3">
        <f t="shared" si="0"/>
        <v>0</v>
      </c>
      <c r="C31" s="43"/>
      <c r="D31" s="44"/>
      <c r="E31" s="47"/>
    </row>
    <row r="32" spans="1:5" x14ac:dyDescent="0.25">
      <c r="A32" s="48"/>
      <c r="B32" s="3">
        <f t="shared" si="0"/>
        <v>0</v>
      </c>
      <c r="C32" s="43"/>
      <c r="D32" s="44"/>
      <c r="E32" s="47"/>
    </row>
    <row r="33" spans="1:5" x14ac:dyDescent="0.25">
      <c r="A33" s="48"/>
      <c r="B33" s="3">
        <f t="shared" si="0"/>
        <v>0</v>
      </c>
      <c r="C33" s="43"/>
      <c r="D33" s="44"/>
      <c r="E33" s="47"/>
    </row>
    <row r="34" spans="1:5" x14ac:dyDescent="0.25">
      <c r="A34" s="48"/>
      <c r="B34" s="3">
        <f t="shared" si="0"/>
        <v>0</v>
      </c>
      <c r="C34" s="46"/>
      <c r="D34" s="44"/>
      <c r="E34" s="47"/>
    </row>
    <row r="35" spans="1:5" x14ac:dyDescent="0.25">
      <c r="A35" s="48"/>
      <c r="B35" s="3">
        <f t="shared" si="0"/>
        <v>0</v>
      </c>
      <c r="C35" s="43"/>
      <c r="D35" s="44"/>
      <c r="E35" s="47"/>
    </row>
    <row r="36" spans="1:5" x14ac:dyDescent="0.25">
      <c r="A36" s="48"/>
      <c r="B36" s="3">
        <f t="shared" si="0"/>
        <v>0</v>
      </c>
      <c r="C36" s="43"/>
      <c r="D36" s="44"/>
      <c r="E36" s="47"/>
    </row>
    <row r="37" spans="1:5" x14ac:dyDescent="0.25">
      <c r="A37" s="48"/>
      <c r="B37" s="3">
        <f t="shared" si="0"/>
        <v>0</v>
      </c>
      <c r="C37" s="43"/>
      <c r="D37" s="44"/>
      <c r="E37" s="47"/>
    </row>
    <row r="38" spans="1:5" x14ac:dyDescent="0.25">
      <c r="A38" s="48"/>
      <c r="B38" s="3">
        <f t="shared" si="0"/>
        <v>0</v>
      </c>
      <c r="C38" s="43"/>
      <c r="D38" s="44"/>
      <c r="E38" s="47"/>
    </row>
    <row r="39" spans="1:5" x14ac:dyDescent="0.25">
      <c r="A39" s="48"/>
      <c r="B39" s="3">
        <f t="shared" si="0"/>
        <v>0</v>
      </c>
      <c r="C39" s="43"/>
      <c r="D39" s="44"/>
      <c r="E39" s="47"/>
    </row>
    <row r="40" spans="1:5" x14ac:dyDescent="0.25">
      <c r="A40" s="48"/>
      <c r="B40" s="3">
        <f t="shared" si="0"/>
        <v>0</v>
      </c>
      <c r="C40" s="43"/>
      <c r="D40" s="44"/>
      <c r="E40" s="47"/>
    </row>
    <row r="41" spans="1:5" x14ac:dyDescent="0.25">
      <c r="A41" s="48"/>
      <c r="B41" s="3">
        <f t="shared" si="0"/>
        <v>0</v>
      </c>
      <c r="C41" s="43"/>
      <c r="D41" s="44"/>
      <c r="E41" s="47"/>
    </row>
    <row r="42" spans="1:5" x14ac:dyDescent="0.25">
      <c r="A42" s="48"/>
      <c r="B42" s="3">
        <f t="shared" si="0"/>
        <v>0</v>
      </c>
      <c r="C42" s="43"/>
      <c r="D42" s="44"/>
      <c r="E42" s="47"/>
    </row>
    <row r="43" spans="1:5" x14ac:dyDescent="0.25">
      <c r="A43" s="48"/>
      <c r="B43" s="3">
        <f t="shared" si="0"/>
        <v>0</v>
      </c>
      <c r="C43" s="43"/>
      <c r="D43" s="44"/>
      <c r="E43" s="47"/>
    </row>
    <row r="44" spans="1:5" x14ac:dyDescent="0.25">
      <c r="A44" s="48"/>
      <c r="B44" s="3">
        <f t="shared" si="0"/>
        <v>0</v>
      </c>
      <c r="C44" s="43"/>
      <c r="D44" s="44"/>
      <c r="E44" s="47"/>
    </row>
    <row r="45" spans="1:5" x14ac:dyDescent="0.25">
      <c r="A45" s="48"/>
      <c r="B45" s="3">
        <f t="shared" si="0"/>
        <v>0</v>
      </c>
      <c r="C45" s="43"/>
      <c r="D45" s="44"/>
      <c r="E45" s="47"/>
    </row>
    <row r="46" spans="1:5" x14ac:dyDescent="0.25">
      <c r="A46" s="48"/>
      <c r="B46" s="3">
        <f t="shared" si="0"/>
        <v>0</v>
      </c>
      <c r="C46" s="46"/>
      <c r="D46" s="44"/>
      <c r="E46" s="47"/>
    </row>
    <row r="47" spans="1:5" x14ac:dyDescent="0.25">
      <c r="A47" s="48"/>
      <c r="B47" s="3">
        <f t="shared" si="0"/>
        <v>0</v>
      </c>
      <c r="C47" s="46"/>
      <c r="D47" s="44"/>
      <c r="E47" s="47"/>
    </row>
    <row r="48" spans="1:5" x14ac:dyDescent="0.25">
      <c r="A48" s="48"/>
      <c r="B48" s="3">
        <f t="shared" si="0"/>
        <v>0</v>
      </c>
      <c r="C48" s="46"/>
      <c r="D48" s="44"/>
      <c r="E48" s="47"/>
    </row>
  </sheetData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Base!$G$3:$G$35</xm:f>
          </x14:formula1>
          <xm:sqref>C4:C48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2021-02-01T14:41:48Z</cp:lastPrinted>
  <dcterms:created xsi:type="dcterms:W3CDTF">2015-01-22T08:10:30Z</dcterms:created>
  <dcterms:modified xsi:type="dcterms:W3CDTF">2021-02-01T15:57:48Z</dcterms:modified>
</cp:coreProperties>
</file>